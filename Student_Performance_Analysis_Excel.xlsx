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GOKUL\Documents\"/>
    </mc:Choice>
  </mc:AlternateContent>
  <xr:revisionPtr revIDLastSave="0" documentId="8_{605FC1E7-8482-4CD2-8A5B-341032DF89F8}" xr6:coauthVersionLast="47" xr6:coauthVersionMax="47" xr10:uidLastSave="{00000000-0000-0000-0000-000000000000}"/>
  <bookViews>
    <workbookView xWindow="-120" yWindow="-120" windowWidth="20730" windowHeight="11040" xr2:uid="{B8C838BC-6C33-4BA4-A9B5-776F847797C1}"/>
  </bookViews>
  <sheets>
    <sheet name="Dashboard" sheetId="17" r:id="rId1"/>
    <sheet name="Sales table" sheetId="1" r:id="rId2"/>
    <sheet name="Pivot Table" sheetId="16" r:id="rId3"/>
  </sheets>
  <definedNames>
    <definedName name="Slicer_AVERAGE1">#N/A</definedName>
    <definedName name="Slicer_BRANCH1">#N/A</definedName>
    <definedName name="Slicer_CUSTOMER_NAME1">#N/A</definedName>
    <definedName name="Slicer_CUSTOMER_TYPE1">#N/A</definedName>
    <definedName name="Slicer_PAYMENT_METHOD1">#N/A</definedName>
    <definedName name="Slicer_PRODUCT1">#N/A</definedName>
    <definedName name="Slicer_QUANTITY1">#N/A</definedName>
    <definedName name="Slicer_TOTAL1">#N/A</definedName>
    <definedName name="Slicer_UNIT_PRIC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1" l="1"/>
  <c r="C35" i="1"/>
  <c r="D34" i="1"/>
  <c r="C34" i="1"/>
  <c r="E33" i="1"/>
  <c r="D33" i="1"/>
  <c r="C33" i="1"/>
  <c r="I29" i="1"/>
  <c r="H29" i="1"/>
  <c r="I28" i="1"/>
  <c r="H28" i="1"/>
  <c r="J3" i="1" l="1"/>
  <c r="J4" i="1"/>
  <c r="J5" i="1"/>
  <c r="J6" i="1"/>
  <c r="J7" i="1"/>
  <c r="J8" i="1"/>
  <c r="J9" i="1"/>
  <c r="J10" i="1"/>
  <c r="J11" i="1"/>
  <c r="J12" i="1"/>
  <c r="J13" i="1"/>
  <c r="J14" i="1"/>
  <c r="J15" i="1"/>
  <c r="J16" i="1"/>
  <c r="J17" i="1"/>
  <c r="J18" i="1"/>
  <c r="J19" i="1"/>
  <c r="J20" i="1"/>
  <c r="J21" i="1"/>
  <c r="J22" i="1"/>
  <c r="J23" i="1"/>
  <c r="J24" i="1"/>
  <c r="J25" i="1"/>
  <c r="J26" i="1"/>
  <c r="J2" i="1"/>
  <c r="K26" i="1" l="1"/>
  <c r="K10" i="1"/>
  <c r="K17" i="1"/>
  <c r="K20" i="1"/>
  <c r="K2" i="1"/>
  <c r="K23" i="1"/>
  <c r="K7" i="1"/>
  <c r="K3" i="1"/>
  <c r="J29" i="1"/>
  <c r="J28" i="1"/>
  <c r="K24" i="1" s="1"/>
  <c r="K21" i="1" l="1"/>
  <c r="K14" i="1"/>
  <c r="K15" i="1"/>
  <c r="K4" i="1"/>
  <c r="K9" i="1"/>
  <c r="K25" i="1"/>
  <c r="K18" i="1"/>
  <c r="K16" i="1"/>
  <c r="K11" i="1"/>
  <c r="K5" i="1"/>
  <c r="K8" i="1"/>
  <c r="K19" i="1"/>
  <c r="K12" i="1"/>
  <c r="K13" i="1"/>
  <c r="K6" i="1"/>
  <c r="C31" i="1" s="1"/>
  <c r="K22" i="1"/>
  <c r="C30" i="1" l="1"/>
  <c r="K29" i="1"/>
  <c r="C32" i="1"/>
  <c r="K28" i="1"/>
</calcChain>
</file>

<file path=xl/sharedStrings.xml><?xml version="1.0" encoding="utf-8"?>
<sst xmlns="http://schemas.openxmlformats.org/spreadsheetml/2006/main" count="319" uniqueCount="98">
  <si>
    <t>INVOICE ID</t>
  </si>
  <si>
    <t>CUSTOMER NAME</t>
  </si>
  <si>
    <t>PRODUCT</t>
  </si>
  <si>
    <t>QUANTITY</t>
  </si>
  <si>
    <t>UNIT PRICE</t>
  </si>
  <si>
    <t>TOTAL</t>
  </si>
  <si>
    <t>CUSTOMER TYPE</t>
  </si>
  <si>
    <t>S.NO</t>
  </si>
  <si>
    <t>BRANCH</t>
  </si>
  <si>
    <t>ORDER DATE</t>
  </si>
  <si>
    <t>ORDER TIME</t>
  </si>
  <si>
    <t>1.00 AM</t>
  </si>
  <si>
    <t>2.00 AM</t>
  </si>
  <si>
    <t>5.00 AM</t>
  </si>
  <si>
    <t>6.00 AM</t>
  </si>
  <si>
    <t>11.30 AM</t>
  </si>
  <si>
    <t>4.30 AM</t>
  </si>
  <si>
    <t>9.45 AM</t>
  </si>
  <si>
    <t>8.35 AM</t>
  </si>
  <si>
    <t>10.55 AM</t>
  </si>
  <si>
    <t>3.55 AM</t>
  </si>
  <si>
    <t>2.45 AM</t>
  </si>
  <si>
    <t>1. 45 AM</t>
  </si>
  <si>
    <t>3.54 AM</t>
  </si>
  <si>
    <t>A</t>
  </si>
  <si>
    <t>B</t>
  </si>
  <si>
    <t>C</t>
  </si>
  <si>
    <t>MAINA</t>
  </si>
  <si>
    <t>GIRIJA</t>
  </si>
  <si>
    <t>DYANA</t>
  </si>
  <si>
    <t>PRASANTH</t>
  </si>
  <si>
    <t>SHRI</t>
  </si>
  <si>
    <t>RIYA</t>
  </si>
  <si>
    <t>HARI</t>
  </si>
  <si>
    <t>HARAN</t>
  </si>
  <si>
    <t>REBE</t>
  </si>
  <si>
    <t>JONI</t>
  </si>
  <si>
    <t>KUZHAL</t>
  </si>
  <si>
    <t>SIMBA</t>
  </si>
  <si>
    <t>NALA</t>
  </si>
  <si>
    <t>LOGESH</t>
  </si>
  <si>
    <t>AADHI</t>
  </si>
  <si>
    <t>KATHIR</t>
  </si>
  <si>
    <t>MITHU</t>
  </si>
  <si>
    <t>KRISHNA</t>
  </si>
  <si>
    <t>ANU</t>
  </si>
  <si>
    <t>VETRI</t>
  </si>
  <si>
    <t>BALAJI</t>
  </si>
  <si>
    <t>BALA</t>
  </si>
  <si>
    <t>SURYA</t>
  </si>
  <si>
    <t>SANKITH</t>
  </si>
  <si>
    <t>MURALI</t>
  </si>
  <si>
    <t>JUICE</t>
  </si>
  <si>
    <t>MILK</t>
  </si>
  <si>
    <t>SOAP</t>
  </si>
  <si>
    <t>TOOTHPASTE</t>
  </si>
  <si>
    <t>WHEAT</t>
  </si>
  <si>
    <t>MAGGIE</t>
  </si>
  <si>
    <t xml:space="preserve">MEMBER </t>
  </si>
  <si>
    <t>NORMAL</t>
  </si>
  <si>
    <t>CARD</t>
  </si>
  <si>
    <t>CASH</t>
  </si>
  <si>
    <t>COUNT</t>
  </si>
  <si>
    <t>COUNT (TOTAL)</t>
  </si>
  <si>
    <t>COUNTA</t>
  </si>
  <si>
    <t>COUNTIF (BRANCH)</t>
  </si>
  <si>
    <t>MIN</t>
  </si>
  <si>
    <t>MAX</t>
  </si>
  <si>
    <t>COUNTIFS (CASH,CARD)</t>
  </si>
  <si>
    <t>COUNTIFS(MEMBER,NORMAL)</t>
  </si>
  <si>
    <t>PAYMENT METHOD</t>
  </si>
  <si>
    <t>Grand Total</t>
  </si>
  <si>
    <t>VEGETABLES</t>
  </si>
  <si>
    <t>FRUITS</t>
  </si>
  <si>
    <t>GROCERY</t>
  </si>
  <si>
    <t>PERSONAL CARE</t>
  </si>
  <si>
    <t>COSMETICS</t>
  </si>
  <si>
    <t>SUGAR</t>
  </si>
  <si>
    <t>FACE WASH</t>
  </si>
  <si>
    <t>SMART PHONES</t>
  </si>
  <si>
    <t>BODY WASH</t>
  </si>
  <si>
    <t>SUNSCEERN</t>
  </si>
  <si>
    <t>TOYS</t>
  </si>
  <si>
    <t>PEN</t>
  </si>
  <si>
    <t>KIT KAT</t>
  </si>
  <si>
    <t>DIARY MILK</t>
  </si>
  <si>
    <t>ICE CREAM</t>
  </si>
  <si>
    <t>ROSE WATER</t>
  </si>
  <si>
    <t>NOTE BOOK</t>
  </si>
  <si>
    <t>GRAINS</t>
  </si>
  <si>
    <t>WATCH</t>
  </si>
  <si>
    <t>Sum of UNIT PRICE</t>
  </si>
  <si>
    <t>Sum of QUANTITY</t>
  </si>
  <si>
    <t>Count of PAYMENT METHOD</t>
  </si>
  <si>
    <t>AVERAGE</t>
  </si>
  <si>
    <t>Sum of AVERAGE</t>
  </si>
  <si>
    <t>Sum of TOTAL</t>
  </si>
  <si>
    <t>PAYMENT &amp;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</si>
</sst>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Table!PivotTable2</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UNIT</a:t>
            </a:r>
            <a:r>
              <a:rPr lang="en-US" baseline="0"/>
              <a:t> SALE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9000">
                <a:srgbClr val="92D050">
                  <a:lumMod val="83000"/>
                </a:srgbClr>
              </a:gs>
              <a:gs pos="74000">
                <a:srgbClr val="FFFF00"/>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gradFill flip="none" rotWithShape="1">
              <a:gsLst>
                <a:gs pos="19000">
                  <a:srgbClr val="92D050">
                    <a:lumMod val="83000"/>
                  </a:srgbClr>
                </a:gs>
                <a:gs pos="74000">
                  <a:srgbClr val="FFFF00"/>
                </a:gs>
              </a:gsLst>
              <a:lin ang="54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Table'!$A$4:$A$29</c:f>
              <c:strCache>
                <c:ptCount val="25"/>
                <c:pt idx="0">
                  <c:v>AADHI</c:v>
                </c:pt>
                <c:pt idx="1">
                  <c:v>ANU</c:v>
                </c:pt>
                <c:pt idx="2">
                  <c:v>BALA</c:v>
                </c:pt>
                <c:pt idx="3">
                  <c:v>BALAJI</c:v>
                </c:pt>
                <c:pt idx="4">
                  <c:v>DYANA</c:v>
                </c:pt>
                <c:pt idx="5">
                  <c:v>GIRIJA</c:v>
                </c:pt>
                <c:pt idx="6">
                  <c:v>HARAN</c:v>
                </c:pt>
                <c:pt idx="7">
                  <c:v>HARI</c:v>
                </c:pt>
                <c:pt idx="8">
                  <c:v>JONI</c:v>
                </c:pt>
                <c:pt idx="9">
                  <c:v>KATHIR</c:v>
                </c:pt>
                <c:pt idx="10">
                  <c:v>KRISHNA</c:v>
                </c:pt>
                <c:pt idx="11">
                  <c:v>KUZHAL</c:v>
                </c:pt>
                <c:pt idx="12">
                  <c:v>LOGESH</c:v>
                </c:pt>
                <c:pt idx="13">
                  <c:v>MAINA</c:v>
                </c:pt>
                <c:pt idx="14">
                  <c:v>MITHU</c:v>
                </c:pt>
                <c:pt idx="15">
                  <c:v>MURALI</c:v>
                </c:pt>
                <c:pt idx="16">
                  <c:v>NALA</c:v>
                </c:pt>
                <c:pt idx="17">
                  <c:v>PRASANTH</c:v>
                </c:pt>
                <c:pt idx="18">
                  <c:v>REBE</c:v>
                </c:pt>
                <c:pt idx="19">
                  <c:v>RIYA</c:v>
                </c:pt>
                <c:pt idx="20">
                  <c:v>SANKITH</c:v>
                </c:pt>
                <c:pt idx="21">
                  <c:v>SHRI</c:v>
                </c:pt>
                <c:pt idx="22">
                  <c:v>SIMBA</c:v>
                </c:pt>
                <c:pt idx="23">
                  <c:v>SURYA</c:v>
                </c:pt>
                <c:pt idx="24">
                  <c:v>VETRI</c:v>
                </c:pt>
              </c:strCache>
            </c:strRef>
          </c:cat>
          <c:val>
            <c:numRef>
              <c:f>'Pivot Table'!$B$4:$B$29</c:f>
              <c:numCache>
                <c:formatCode>General</c:formatCode>
                <c:ptCount val="25"/>
                <c:pt idx="0">
                  <c:v>5</c:v>
                </c:pt>
                <c:pt idx="1">
                  <c:v>100</c:v>
                </c:pt>
                <c:pt idx="2">
                  <c:v>30</c:v>
                </c:pt>
                <c:pt idx="3">
                  <c:v>50</c:v>
                </c:pt>
                <c:pt idx="4">
                  <c:v>15</c:v>
                </c:pt>
                <c:pt idx="5">
                  <c:v>5</c:v>
                </c:pt>
                <c:pt idx="6">
                  <c:v>50</c:v>
                </c:pt>
                <c:pt idx="7">
                  <c:v>35</c:v>
                </c:pt>
                <c:pt idx="8">
                  <c:v>20</c:v>
                </c:pt>
                <c:pt idx="9">
                  <c:v>60</c:v>
                </c:pt>
                <c:pt idx="10">
                  <c:v>120</c:v>
                </c:pt>
                <c:pt idx="11">
                  <c:v>25</c:v>
                </c:pt>
                <c:pt idx="12">
                  <c:v>20</c:v>
                </c:pt>
                <c:pt idx="13">
                  <c:v>10</c:v>
                </c:pt>
                <c:pt idx="14">
                  <c:v>30</c:v>
                </c:pt>
                <c:pt idx="15">
                  <c:v>70</c:v>
                </c:pt>
                <c:pt idx="16">
                  <c:v>60</c:v>
                </c:pt>
                <c:pt idx="17">
                  <c:v>10</c:v>
                </c:pt>
                <c:pt idx="18">
                  <c:v>30</c:v>
                </c:pt>
                <c:pt idx="19">
                  <c:v>20</c:v>
                </c:pt>
                <c:pt idx="20">
                  <c:v>40</c:v>
                </c:pt>
                <c:pt idx="21">
                  <c:v>30</c:v>
                </c:pt>
                <c:pt idx="22">
                  <c:v>90</c:v>
                </c:pt>
                <c:pt idx="23">
                  <c:v>40</c:v>
                </c:pt>
                <c:pt idx="24">
                  <c:v>50</c:v>
                </c:pt>
              </c:numCache>
            </c:numRef>
          </c:val>
          <c:extLst>
            <c:ext xmlns:c16="http://schemas.microsoft.com/office/drawing/2014/chart" uri="{C3380CC4-5D6E-409C-BE32-E72D297353CC}">
              <c16:uniqueId val="{00000000-09DA-462D-93D6-CAA367D84B98}"/>
            </c:ext>
          </c:extLst>
        </c:ser>
        <c:dLbls>
          <c:showLegendKey val="0"/>
          <c:showVal val="1"/>
          <c:showCatName val="0"/>
          <c:showSerName val="0"/>
          <c:showPercent val="0"/>
          <c:showBubbleSize val="0"/>
        </c:dLbls>
        <c:gapWidth val="150"/>
        <c:gapDepth val="0"/>
        <c:shape val="box"/>
        <c:axId val="2109258480"/>
        <c:axId val="2109264240"/>
        <c:axId val="949644768"/>
      </c:bar3DChart>
      <c:catAx>
        <c:axId val="210925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4240"/>
        <c:crosses val="autoZero"/>
        <c:auto val="1"/>
        <c:lblAlgn val="ctr"/>
        <c:lblOffset val="100"/>
        <c:noMultiLvlLbl val="0"/>
      </c:catAx>
      <c:valAx>
        <c:axId val="210926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58480"/>
        <c:crosses val="autoZero"/>
        <c:crossBetween val="between"/>
      </c:valAx>
      <c:serAx>
        <c:axId val="94964476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424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gradFill flip="none" rotWithShape="1">
              <a:gsLst>
                <a:gs pos="19000">
                  <a:srgbClr val="92D050">
                    <a:lumMod val="51000"/>
                  </a:srgbClr>
                </a:gs>
                <a:gs pos="53000">
                  <a:srgbClr val="FFFF00"/>
                </a:gs>
              </a:gsLst>
              <a:lin ang="5400000" scaled="1"/>
              <a:tileRect/>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34925" cap="rnd">
              <a:gradFill flip="none" rotWithShape="1">
                <a:gsLst>
                  <a:gs pos="19000">
                    <a:srgbClr val="92D050">
                      <a:lumMod val="51000"/>
                    </a:srgbClr>
                  </a:gs>
                  <a:gs pos="53000">
                    <a:srgbClr val="FFFF00"/>
                  </a:gs>
                </a:gsLst>
                <a:lin ang="5400000" scaled="1"/>
                <a:tileRect/>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Table'!$L$4:$L$29</c:f>
              <c:strCache>
                <c:ptCount val="25"/>
                <c:pt idx="0">
                  <c:v>JUICE</c:v>
                </c:pt>
                <c:pt idx="1">
                  <c:v>WHEAT</c:v>
                </c:pt>
                <c:pt idx="2">
                  <c:v>BODY WASH</c:v>
                </c:pt>
                <c:pt idx="3">
                  <c:v>COSMETICS</c:v>
                </c:pt>
                <c:pt idx="4">
                  <c:v>DIARY MILK</c:v>
                </c:pt>
                <c:pt idx="5">
                  <c:v>FACE WASH</c:v>
                </c:pt>
                <c:pt idx="6">
                  <c:v>FRUITS</c:v>
                </c:pt>
                <c:pt idx="7">
                  <c:v>GRAINS</c:v>
                </c:pt>
                <c:pt idx="8">
                  <c:v>GROCERY</c:v>
                </c:pt>
                <c:pt idx="9">
                  <c:v>ICE CREAM</c:v>
                </c:pt>
                <c:pt idx="10">
                  <c:v>KIT KAT</c:v>
                </c:pt>
                <c:pt idx="11">
                  <c:v>MAGGIE</c:v>
                </c:pt>
                <c:pt idx="12">
                  <c:v>MILK</c:v>
                </c:pt>
                <c:pt idx="13">
                  <c:v>NOTE BOOK</c:v>
                </c:pt>
                <c:pt idx="14">
                  <c:v>PEN</c:v>
                </c:pt>
                <c:pt idx="15">
                  <c:v>PERSONAL CARE</c:v>
                </c:pt>
                <c:pt idx="16">
                  <c:v>ROSE WATER</c:v>
                </c:pt>
                <c:pt idx="17">
                  <c:v>SMART PHONES</c:v>
                </c:pt>
                <c:pt idx="18">
                  <c:v>SOAP</c:v>
                </c:pt>
                <c:pt idx="19">
                  <c:v>SUGAR</c:v>
                </c:pt>
                <c:pt idx="20">
                  <c:v>SUNSCEERN</c:v>
                </c:pt>
                <c:pt idx="21">
                  <c:v>TOOTHPASTE</c:v>
                </c:pt>
                <c:pt idx="22">
                  <c:v>TOYS</c:v>
                </c:pt>
                <c:pt idx="23">
                  <c:v>VEGETABLES</c:v>
                </c:pt>
                <c:pt idx="24">
                  <c:v>WATCH</c:v>
                </c:pt>
              </c:strCache>
            </c:strRef>
          </c:cat>
          <c:val>
            <c:numRef>
              <c:f>'Pivot Table'!$M$4:$M$29</c:f>
              <c:numCache>
                <c:formatCode>General</c:formatCode>
                <c:ptCount val="25"/>
                <c:pt idx="0">
                  <c:v>430</c:v>
                </c:pt>
                <c:pt idx="1">
                  <c:v>250</c:v>
                </c:pt>
                <c:pt idx="2">
                  <c:v>740</c:v>
                </c:pt>
                <c:pt idx="3">
                  <c:v>500</c:v>
                </c:pt>
                <c:pt idx="4">
                  <c:v>200</c:v>
                </c:pt>
                <c:pt idx="5">
                  <c:v>900</c:v>
                </c:pt>
                <c:pt idx="6">
                  <c:v>350</c:v>
                </c:pt>
                <c:pt idx="7">
                  <c:v>300</c:v>
                </c:pt>
                <c:pt idx="8">
                  <c:v>250</c:v>
                </c:pt>
                <c:pt idx="9">
                  <c:v>560</c:v>
                </c:pt>
                <c:pt idx="10">
                  <c:v>80</c:v>
                </c:pt>
                <c:pt idx="11">
                  <c:v>100</c:v>
                </c:pt>
                <c:pt idx="12">
                  <c:v>440</c:v>
                </c:pt>
                <c:pt idx="13">
                  <c:v>650</c:v>
                </c:pt>
                <c:pt idx="14">
                  <c:v>400</c:v>
                </c:pt>
                <c:pt idx="15">
                  <c:v>420</c:v>
                </c:pt>
                <c:pt idx="16">
                  <c:v>633</c:v>
                </c:pt>
                <c:pt idx="17">
                  <c:v>670</c:v>
                </c:pt>
                <c:pt idx="18">
                  <c:v>600</c:v>
                </c:pt>
                <c:pt idx="19">
                  <c:v>110</c:v>
                </c:pt>
                <c:pt idx="20">
                  <c:v>300</c:v>
                </c:pt>
                <c:pt idx="21">
                  <c:v>700</c:v>
                </c:pt>
                <c:pt idx="22">
                  <c:v>600</c:v>
                </c:pt>
                <c:pt idx="23">
                  <c:v>350</c:v>
                </c:pt>
                <c:pt idx="24">
                  <c:v>200</c:v>
                </c:pt>
              </c:numCache>
            </c:numRef>
          </c:val>
          <c:smooth val="0"/>
          <c:extLst>
            <c:ext xmlns:c16="http://schemas.microsoft.com/office/drawing/2014/chart" uri="{C3380CC4-5D6E-409C-BE32-E72D297353CC}">
              <c16:uniqueId val="{00000000-6947-416A-B8D2-286726A341CF}"/>
            </c:ext>
          </c:extLst>
        </c:ser>
        <c:dLbls>
          <c:showLegendKey val="0"/>
          <c:showVal val="0"/>
          <c:showCatName val="0"/>
          <c:showSerName val="0"/>
          <c:showPercent val="0"/>
          <c:showBubbleSize val="0"/>
        </c:dLbls>
        <c:marker val="1"/>
        <c:smooth val="0"/>
        <c:axId val="2109260880"/>
        <c:axId val="2109255600"/>
      </c:lineChart>
      <c:catAx>
        <c:axId val="2109260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55600"/>
        <c:crosses val="autoZero"/>
        <c:auto val="1"/>
        <c:lblAlgn val="ctr"/>
        <c:lblOffset val="100"/>
        <c:noMultiLvlLbl val="0"/>
      </c:catAx>
      <c:valAx>
        <c:axId val="21092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[Student_Performance_Analysis_Excel.xlsx]Pivot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w="25400">
            <a:solidFill>
              <a:schemeClr val="lt1"/>
            </a:solidFill>
          </a:ln>
          <a:effectLst/>
          <a:sp3d contourW="25400">
            <a:contourClr>
              <a:schemeClr val="lt1"/>
            </a:contourClr>
          </a:sp3d>
        </c:spPr>
        <c:dLbl>
          <c:idx val="0"/>
          <c:layout>
            <c:manualLayout>
              <c:x val="7.3512727542151157E-2"/>
              <c:y val="-0.27142030937466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77000"/>
            </a:schemeClr>
          </a:solidFill>
          <a:ln w="25400">
            <a:solidFill>
              <a:schemeClr val="lt1"/>
            </a:solidFill>
          </a:ln>
          <a:effectLst/>
          <a:sp3d contourW="25400">
            <a:contourClr>
              <a:schemeClr val="lt1"/>
            </a:contourClr>
          </a:sp3d>
        </c:spPr>
        <c:dLbl>
          <c:idx val="0"/>
          <c:layout>
            <c:manualLayout>
              <c:x val="-7.6453236643837214E-2"/>
              <c:y val="-0.11078379974476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76000"/>
            </a:schemeClr>
          </a:solidFill>
          <a:ln w="25400">
            <a:solidFill>
              <a:schemeClr val="lt1"/>
            </a:solidFill>
          </a:ln>
          <a:effectLst/>
          <a:sp3d contourW="25400">
            <a:contourClr>
              <a:schemeClr val="lt1"/>
            </a:contourClr>
          </a:sp3d>
        </c:spPr>
        <c:dLbl>
          <c:idx val="0"/>
          <c:layout>
            <c:manualLayout>
              <c:x val="7.3512727542151157E-2"/>
              <c:y val="-0.27142030937466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77000"/>
            </a:schemeClr>
          </a:solidFill>
          <a:ln w="25400">
            <a:solidFill>
              <a:schemeClr val="lt1"/>
            </a:solidFill>
          </a:ln>
          <a:effectLst/>
          <a:sp3d contourW="25400">
            <a:contourClr>
              <a:schemeClr val="lt1"/>
            </a:contourClr>
          </a:sp3d>
        </c:spPr>
        <c:dLbl>
          <c:idx val="0"/>
          <c:layout>
            <c:manualLayout>
              <c:x val="-7.6453236643837214E-2"/>
              <c:y val="-0.11078379974476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rgbClr val="92D050">
                  <a:lumMod val="47000"/>
                </a:srgbClr>
              </a:gs>
              <a:gs pos="100000">
                <a:srgbClr val="FFFF00"/>
              </a:gs>
            </a:gsLst>
            <a:lin ang="5400000" scaled="1"/>
          </a:gra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rgbClr val="92D050">
                  <a:lumMod val="47000"/>
                </a:srgbClr>
              </a:gs>
              <a:gs pos="100000">
                <a:srgbClr val="FFFF00"/>
              </a:gs>
            </a:gsLst>
            <a:lin ang="5400000" scaled="1"/>
          </a:gradFill>
          <a:ln w="25400">
            <a:solidFill>
              <a:schemeClr val="lt1"/>
            </a:solidFill>
          </a:ln>
          <a:effectLst/>
          <a:sp3d contourW="25400">
            <a:contourClr>
              <a:schemeClr val="lt1"/>
            </a:contourClr>
          </a:sp3d>
        </c:spPr>
        <c:dLbl>
          <c:idx val="0"/>
          <c:layout>
            <c:manualLayout>
              <c:x val="7.3512727542151157E-2"/>
              <c:y val="-0.27142030937466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rgbClr val="92D050">
                  <a:lumMod val="47000"/>
                </a:srgbClr>
              </a:gs>
              <a:gs pos="100000">
                <a:srgbClr val="FFFF00"/>
              </a:gs>
            </a:gsLst>
            <a:lin ang="5400000" scaled="1"/>
          </a:gradFill>
          <a:ln w="25400">
            <a:solidFill>
              <a:schemeClr val="lt1"/>
            </a:solidFill>
          </a:ln>
          <a:effectLst/>
          <a:sp3d contourW="25400">
            <a:contourClr>
              <a:schemeClr val="lt1"/>
            </a:contourClr>
          </a:sp3d>
        </c:spPr>
        <c:dLbl>
          <c:idx val="0"/>
          <c:layout>
            <c:manualLayout>
              <c:x val="-7.6453236643837214E-2"/>
              <c:y val="-0.11078379974476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c:f>
              <c:strCache>
                <c:ptCount val="1"/>
                <c:pt idx="0">
                  <c:v>Total</c:v>
                </c:pt>
              </c:strCache>
            </c:strRef>
          </c:tx>
          <c:spPr>
            <a:gradFill>
              <a:gsLst>
                <a:gs pos="0">
                  <a:srgbClr val="92D050">
                    <a:lumMod val="47000"/>
                  </a:srgbClr>
                </a:gs>
                <a:gs pos="100000">
                  <a:srgbClr val="FFFF00"/>
                </a:gs>
              </a:gsLst>
              <a:lin ang="5400000" scaled="1"/>
            </a:gradFill>
          </c:spPr>
          <c:explosion val="34"/>
          <c:dPt>
            <c:idx val="0"/>
            <c:bubble3D val="0"/>
            <c:explosion val="11"/>
            <c:spPr>
              <a:gradFill>
                <a:gsLst>
                  <a:gs pos="0">
                    <a:srgbClr val="92D050">
                      <a:lumMod val="47000"/>
                    </a:srgbClr>
                  </a:gs>
                  <a:gs pos="100000">
                    <a:srgbClr val="FFFF00"/>
                  </a:gs>
                </a:gsLst>
                <a:lin ang="54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1-32E5-417A-ABA7-939A49B47A23}"/>
              </c:ext>
            </c:extLst>
          </c:dPt>
          <c:dPt>
            <c:idx val="1"/>
            <c:bubble3D val="0"/>
            <c:explosion val="54"/>
            <c:spPr>
              <a:gradFill>
                <a:gsLst>
                  <a:gs pos="0">
                    <a:srgbClr val="92D050">
                      <a:lumMod val="47000"/>
                    </a:srgbClr>
                  </a:gs>
                  <a:gs pos="100000">
                    <a:srgbClr val="FFFF00"/>
                  </a:gs>
                </a:gsLst>
                <a:lin ang="54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3-32E5-417A-ABA7-939A49B47A23}"/>
              </c:ext>
            </c:extLst>
          </c:dPt>
          <c:dLbls>
            <c:dLbl>
              <c:idx val="0"/>
              <c:layout>
                <c:manualLayout>
                  <c:x val="7.3512727542151157E-2"/>
                  <c:y val="-0.27142030937466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E5-417A-ABA7-939A49B47A23}"/>
                </c:ext>
              </c:extLst>
            </c:dLbl>
            <c:dLbl>
              <c:idx val="1"/>
              <c:layout>
                <c:manualLayout>
                  <c:x val="-7.6453236643837214E-2"/>
                  <c:y val="-0.110783799744761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E5-417A-ABA7-939A49B47A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Table'!$A$34:$A$36</c:f>
              <c:strCache>
                <c:ptCount val="2"/>
                <c:pt idx="0">
                  <c:v>MEMBER </c:v>
                </c:pt>
                <c:pt idx="1">
                  <c:v>NORMAL</c:v>
                </c:pt>
              </c:strCache>
            </c:strRef>
          </c:cat>
          <c:val>
            <c:numRef>
              <c:f>'Pivot Table'!$B$34:$B$36</c:f>
              <c:numCache>
                <c:formatCode>General</c:formatCode>
                <c:ptCount val="2"/>
                <c:pt idx="0">
                  <c:v>15</c:v>
                </c:pt>
                <c:pt idx="1">
                  <c:v>10</c:v>
                </c:pt>
              </c:numCache>
            </c:numRef>
          </c:val>
          <c:extLst>
            <c:ext xmlns:c16="http://schemas.microsoft.com/office/drawing/2014/chart" uri="{C3380CC4-5D6E-409C-BE32-E72D297353CC}">
              <c16:uniqueId val="{00000004-32E5-417A-ABA7-939A49B47A23}"/>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Table!PivotTable5</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lumMod val="62000"/>
                </a:srgbClr>
              </a:gs>
              <a:gs pos="100000">
                <a:srgbClr val="FFFF00"/>
              </a:gs>
            </a:gsLst>
            <a:lin ang="108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Table'!$M$34</c:f>
              <c:strCache>
                <c:ptCount val="1"/>
                <c:pt idx="0">
                  <c:v>Total</c:v>
                </c:pt>
              </c:strCache>
            </c:strRef>
          </c:tx>
          <c:spPr>
            <a:gradFill flip="none" rotWithShape="1">
              <a:gsLst>
                <a:gs pos="0">
                  <a:srgbClr val="92D050">
                    <a:lumMod val="62000"/>
                  </a:srgbClr>
                </a:gs>
                <a:gs pos="100000">
                  <a:srgbClr val="FFFF00"/>
                </a:gs>
              </a:gsLst>
              <a:lin ang="10800000" scaled="1"/>
              <a:tileRect/>
            </a:gradFill>
            <a:ln>
              <a:noFill/>
            </a:ln>
            <a:effectLst>
              <a:outerShdw blurRad="57150" dist="19050" dir="5400000" algn="ctr" rotWithShape="0">
                <a:srgbClr val="000000">
                  <a:alpha val="63000"/>
                </a:srgbClr>
              </a:outerShdw>
            </a:effectLst>
            <a:sp3d/>
          </c:spPr>
          <c:invertIfNegative val="0"/>
          <c:cat>
            <c:strRef>
              <c:f>'Pivot Table'!$L$35:$L$38</c:f>
              <c:strCache>
                <c:ptCount val="3"/>
                <c:pt idx="0">
                  <c:v>A</c:v>
                </c:pt>
                <c:pt idx="1">
                  <c:v>B</c:v>
                </c:pt>
                <c:pt idx="2">
                  <c:v>C</c:v>
                </c:pt>
              </c:strCache>
            </c:strRef>
          </c:cat>
          <c:val>
            <c:numRef>
              <c:f>'Pivot Table'!$M$35:$M$38</c:f>
              <c:numCache>
                <c:formatCode>General</c:formatCode>
                <c:ptCount val="3"/>
                <c:pt idx="0">
                  <c:v>190400</c:v>
                </c:pt>
                <c:pt idx="1">
                  <c:v>183900</c:v>
                </c:pt>
                <c:pt idx="2">
                  <c:v>90420</c:v>
                </c:pt>
              </c:numCache>
            </c:numRef>
          </c:val>
          <c:extLst>
            <c:ext xmlns:c16="http://schemas.microsoft.com/office/drawing/2014/chart" uri="{C3380CC4-5D6E-409C-BE32-E72D297353CC}">
              <c16:uniqueId val="{00000000-EAE1-4EFD-9430-E182410AB3B0}"/>
            </c:ext>
          </c:extLst>
        </c:ser>
        <c:dLbls>
          <c:showLegendKey val="0"/>
          <c:showVal val="0"/>
          <c:showCatName val="0"/>
          <c:showSerName val="0"/>
          <c:showPercent val="0"/>
          <c:showBubbleSize val="0"/>
        </c:dLbls>
        <c:gapWidth val="150"/>
        <c:shape val="box"/>
        <c:axId val="2036220224"/>
        <c:axId val="2036217824"/>
        <c:axId val="0"/>
      </c:bar3DChart>
      <c:catAx>
        <c:axId val="2036220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217824"/>
        <c:crosses val="autoZero"/>
        <c:auto val="1"/>
        <c:lblAlgn val="ctr"/>
        <c:lblOffset val="100"/>
        <c:noMultiLvlLbl val="0"/>
      </c:catAx>
      <c:valAx>
        <c:axId val="20362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22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Table!PivotTable7</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a:t>
            </a:r>
            <a:r>
              <a:rPr lang="en-US" baseline="0"/>
              <a:t> METHOD</a:t>
            </a:r>
            <a:endParaRPr lang="en-US"/>
          </a:p>
        </c:rich>
      </c:tx>
      <c:layout>
        <c:manualLayout>
          <c:xMode val="edge"/>
          <c:yMode val="edge"/>
          <c:x val="0.44932349218464168"/>
          <c:y val="2.7406968464436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9468193732062682E-2"/>
              <c:y val="-0.13651003783932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253578800057374E-2"/>
              <c:y val="-0.14951687463370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313516120868078E-2"/>
              <c:y val="-0.140528752435806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306923305401461E-2"/>
              <c:y val="-9.20671956651696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7735744287220271E-2"/>
              <c:y val="-7.00946588352903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242459215792039E-2"/>
              <c:y val="-3.49793734737940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7147037285016701E-2"/>
              <c:y val="3.10058480056654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2946104647331256E-2"/>
              <c:y val="7.93770268205207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8234735538827071E-2"/>
              <c:y val="0.114515079147977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422513091821549E-3"/>
              <c:y val="0.14972068666248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0045680640241131E-2"/>
              <c:y val="0.140913587447040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120065445659829E-2"/>
              <c:y val="0.132106488231600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623167548419754E-2"/>
              <c:y val="0.118895839408440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2978795821375209E-2"/>
              <c:y val="0.114492289800720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6535078550928777E-2"/>
              <c:y val="0.132106488231600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246335096839508E-2"/>
              <c:y val="0.118895839408440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3024476461616375E-2"/>
              <c:y val="8.3667442546680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0668848188660968E-2"/>
              <c:y val="6.16496945080801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4802617826393201E-2"/>
              <c:y val="2.2017748038600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5380104734571698E-2"/>
              <c:y val="-2.642129764632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3024476461616375E-2"/>
              <c:y val="-6.6053244115800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595759164275028E-2"/>
              <c:y val="-0.101281640977560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0045680640241214E-2"/>
              <c:y val="-0.136510037839320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0668848188660972E-3"/>
              <c:y val="-0.149720686662480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765225941590236"/>
          <c:y val="0.21813557189269761"/>
          <c:w val="0.39838808167444034"/>
          <c:h val="0.67941613448980298"/>
        </c:manualLayout>
      </c:layout>
      <c:doughnutChart>
        <c:varyColors val="1"/>
        <c:ser>
          <c:idx val="0"/>
          <c:order val="0"/>
          <c:tx>
            <c:strRef>
              <c:f>'Pivot Table'!$B$46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E2E-4C4D-97FA-DEBF933B71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2E-4C4D-97FA-DEBF933B71F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2E-4C4D-97FA-DEBF933B71F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E2E-4C4D-97FA-DEBF933B71F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E2E-4C4D-97FA-DEBF933B71F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E2E-4C4D-97FA-DEBF933B71FE}"/>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E2E-4C4D-97FA-DEBF933B71FE}"/>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E2E-4C4D-97FA-DEBF933B71FE}"/>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5E2E-4C4D-97FA-DEBF933B71FE}"/>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5E2E-4C4D-97FA-DEBF933B71FE}"/>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5E2E-4C4D-97FA-DEBF933B71FE}"/>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5E2E-4C4D-97FA-DEBF933B71FE}"/>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5E2E-4C4D-97FA-DEBF933B71FE}"/>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5E2E-4C4D-97FA-DEBF933B71FE}"/>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5E2E-4C4D-97FA-DEBF933B71FE}"/>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5E2E-4C4D-97FA-DEBF933B71FE}"/>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5E2E-4C4D-97FA-DEBF933B71FE}"/>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5E2E-4C4D-97FA-DEBF933B71FE}"/>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5E2E-4C4D-97FA-DEBF933B71FE}"/>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5E2E-4C4D-97FA-DEBF933B71FE}"/>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5E2E-4C4D-97FA-DEBF933B71FE}"/>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5E2E-4C4D-97FA-DEBF933B71FE}"/>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5E2E-4C4D-97FA-DEBF933B71FE}"/>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5E2E-4C4D-97FA-DEBF933B71FE}"/>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5E2E-4C4D-97FA-DEBF933B71FE}"/>
              </c:ext>
            </c:extLst>
          </c:dPt>
          <c:dLbls>
            <c:dLbl>
              <c:idx val="0"/>
              <c:layout>
                <c:manualLayout>
                  <c:x val="4.9468193732062682E-2"/>
                  <c:y val="-0.136510037839320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2E-4C4D-97FA-DEBF933B71FE}"/>
                </c:ext>
              </c:extLst>
            </c:dLbl>
            <c:dLbl>
              <c:idx val="2"/>
              <c:layout>
                <c:manualLayout>
                  <c:x val="4.253578800057374E-2"/>
                  <c:y val="-0.1495168746337019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2E-4C4D-97FA-DEBF933B71FE}"/>
                </c:ext>
              </c:extLst>
            </c:dLbl>
            <c:dLbl>
              <c:idx val="3"/>
              <c:layout>
                <c:manualLayout>
                  <c:x val="6.1313516120868078E-2"/>
                  <c:y val="-0.140528752435806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E2E-4C4D-97FA-DEBF933B71FE}"/>
                </c:ext>
              </c:extLst>
            </c:dLbl>
            <c:dLbl>
              <c:idx val="4"/>
              <c:layout>
                <c:manualLayout>
                  <c:x val="7.306923305401461E-2"/>
                  <c:y val="-9.20671956651696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E2E-4C4D-97FA-DEBF933B71FE}"/>
                </c:ext>
              </c:extLst>
            </c:dLbl>
            <c:dLbl>
              <c:idx val="5"/>
              <c:layout>
                <c:manualLayout>
                  <c:x val="7.7735744287220271E-2"/>
                  <c:y val="-7.00946588352903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E2E-4C4D-97FA-DEBF933B71FE}"/>
                </c:ext>
              </c:extLst>
            </c:dLbl>
            <c:dLbl>
              <c:idx val="6"/>
              <c:layout>
                <c:manualLayout>
                  <c:x val="8.242459215792039E-2"/>
                  <c:y val="-3.49793734737940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E2E-4C4D-97FA-DEBF933B71FE}"/>
                </c:ext>
              </c:extLst>
            </c:dLbl>
            <c:dLbl>
              <c:idx val="7"/>
              <c:layout>
                <c:manualLayout>
                  <c:x val="8.7147037285016701E-2"/>
                  <c:y val="3.100584800566544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E2E-4C4D-97FA-DEBF933B71FE}"/>
                </c:ext>
              </c:extLst>
            </c:dLbl>
            <c:dLbl>
              <c:idx val="8"/>
              <c:layout>
                <c:manualLayout>
                  <c:x val="7.2946104647331256E-2"/>
                  <c:y val="7.93770268205207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5E2E-4C4D-97FA-DEBF933B71FE}"/>
                </c:ext>
              </c:extLst>
            </c:dLbl>
            <c:dLbl>
              <c:idx val="9"/>
              <c:layout>
                <c:manualLayout>
                  <c:x val="6.8234735538827071E-2"/>
                  <c:y val="0.114515079147977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5E2E-4C4D-97FA-DEBF933B71FE}"/>
                </c:ext>
              </c:extLst>
            </c:dLbl>
            <c:dLbl>
              <c:idx val="10"/>
              <c:layout>
                <c:manualLayout>
                  <c:x val="-9.422513091821549E-3"/>
                  <c:y val="0.149720686662480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5E2E-4C4D-97FA-DEBF933B71FE}"/>
                </c:ext>
              </c:extLst>
            </c:dLbl>
            <c:dLbl>
              <c:idx val="11"/>
              <c:layout>
                <c:manualLayout>
                  <c:x val="4.0045680640241131E-2"/>
                  <c:y val="0.1409135874470402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7-5E2E-4C4D-97FA-DEBF933B71FE}"/>
                </c:ext>
              </c:extLst>
            </c:dLbl>
            <c:dLbl>
              <c:idx val="12"/>
              <c:layout>
                <c:manualLayout>
                  <c:x val="-2.120065445659829E-2"/>
                  <c:y val="0.132106488231600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9-5E2E-4C4D-97FA-DEBF933B71FE}"/>
                </c:ext>
              </c:extLst>
            </c:dLbl>
            <c:dLbl>
              <c:idx val="13"/>
              <c:layout>
                <c:manualLayout>
                  <c:x val="-3.0623167548419754E-2"/>
                  <c:y val="0.1188958394084403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B-5E2E-4C4D-97FA-DEBF933B71FE}"/>
                </c:ext>
              </c:extLst>
            </c:dLbl>
            <c:dLbl>
              <c:idx val="14"/>
              <c:layout>
                <c:manualLayout>
                  <c:x val="-3.2978795821375209E-2"/>
                  <c:y val="0.1144922898007203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D-5E2E-4C4D-97FA-DEBF933B71FE}"/>
                </c:ext>
              </c:extLst>
            </c:dLbl>
            <c:dLbl>
              <c:idx val="15"/>
              <c:layout>
                <c:manualLayout>
                  <c:x val="-5.6535078550928777E-2"/>
                  <c:y val="0.132106488231600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F-5E2E-4C4D-97FA-DEBF933B71FE}"/>
                </c:ext>
              </c:extLst>
            </c:dLbl>
            <c:dLbl>
              <c:idx val="16"/>
              <c:layout>
                <c:manualLayout>
                  <c:x val="-6.1246335096839508E-2"/>
                  <c:y val="0.1188958394084403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1-5E2E-4C4D-97FA-DEBF933B71FE}"/>
                </c:ext>
              </c:extLst>
            </c:dLbl>
            <c:dLbl>
              <c:idx val="17"/>
              <c:layout>
                <c:manualLayout>
                  <c:x val="-7.3024476461616375E-2"/>
                  <c:y val="8.3667442546680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3-5E2E-4C4D-97FA-DEBF933B71FE}"/>
                </c:ext>
              </c:extLst>
            </c:dLbl>
            <c:dLbl>
              <c:idx val="18"/>
              <c:layout>
                <c:manualLayout>
                  <c:x val="-7.0668848188660968E-2"/>
                  <c:y val="6.16496945080801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5-5E2E-4C4D-97FA-DEBF933B71FE}"/>
                </c:ext>
              </c:extLst>
            </c:dLbl>
            <c:dLbl>
              <c:idx val="19"/>
              <c:layout>
                <c:manualLayout>
                  <c:x val="-8.4802617826393201E-2"/>
                  <c:y val="2.201774803860006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7-5E2E-4C4D-97FA-DEBF933B71FE}"/>
                </c:ext>
              </c:extLst>
            </c:dLbl>
            <c:dLbl>
              <c:idx val="20"/>
              <c:layout>
                <c:manualLayout>
                  <c:x val="-7.5380104734571698E-2"/>
                  <c:y val="-2.6421297646320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5E2E-4C4D-97FA-DEBF933B71FE}"/>
                </c:ext>
              </c:extLst>
            </c:dLbl>
            <c:dLbl>
              <c:idx val="21"/>
              <c:layout>
                <c:manualLayout>
                  <c:x val="-7.3024476461616375E-2"/>
                  <c:y val="-6.60532441158002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B-5E2E-4C4D-97FA-DEBF933B71FE}"/>
                </c:ext>
              </c:extLst>
            </c:dLbl>
            <c:dLbl>
              <c:idx val="22"/>
              <c:layout>
                <c:manualLayout>
                  <c:x val="-6.595759164275028E-2"/>
                  <c:y val="-0.1012816409775602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D-5E2E-4C4D-97FA-DEBF933B71FE}"/>
                </c:ext>
              </c:extLst>
            </c:dLbl>
            <c:dLbl>
              <c:idx val="23"/>
              <c:layout>
                <c:manualLayout>
                  <c:x val="-4.0045680640241214E-2"/>
                  <c:y val="-0.1365100378393203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F-5E2E-4C4D-97FA-DEBF933B71FE}"/>
                </c:ext>
              </c:extLst>
            </c:dLbl>
            <c:dLbl>
              <c:idx val="24"/>
              <c:layout>
                <c:manualLayout>
                  <c:x val="7.0668848188660972E-3"/>
                  <c:y val="-0.1497206866624804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31-5E2E-4C4D-97FA-DEBF933B71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multiLvlStrRef>
              <c:f>'Pivot Table'!$A$47:$A$97</c:f>
              <c:multiLvlStrCache>
                <c:ptCount val="25"/>
                <c:lvl>
                  <c:pt idx="0">
                    <c:v>CARD</c:v>
                  </c:pt>
                  <c:pt idx="1">
                    <c:v>CASH</c:v>
                  </c:pt>
                  <c:pt idx="2">
                    <c:v>CARD</c:v>
                  </c:pt>
                  <c:pt idx="3">
                    <c:v>CARD</c:v>
                  </c:pt>
                  <c:pt idx="4">
                    <c:v>CARD</c:v>
                  </c:pt>
                  <c:pt idx="5">
                    <c:v>CARD</c:v>
                  </c:pt>
                  <c:pt idx="6">
                    <c:v>CASH</c:v>
                  </c:pt>
                  <c:pt idx="7">
                    <c:v>CARD</c:v>
                  </c:pt>
                  <c:pt idx="8">
                    <c:v>CASH</c:v>
                  </c:pt>
                  <c:pt idx="9">
                    <c:v>CASH</c:v>
                  </c:pt>
                  <c:pt idx="10">
                    <c:v>CARD</c:v>
                  </c:pt>
                  <c:pt idx="11">
                    <c:v>CARD</c:v>
                  </c:pt>
                  <c:pt idx="12">
                    <c:v>CASH</c:v>
                  </c:pt>
                  <c:pt idx="13">
                    <c:v>CASH</c:v>
                  </c:pt>
                  <c:pt idx="14">
                    <c:v>CARD</c:v>
                  </c:pt>
                  <c:pt idx="15">
                    <c:v>CASH</c:v>
                  </c:pt>
                  <c:pt idx="16">
                    <c:v>CASH</c:v>
                  </c:pt>
                  <c:pt idx="17">
                    <c:v>CARD</c:v>
                  </c:pt>
                  <c:pt idx="18">
                    <c:v>CASH</c:v>
                  </c:pt>
                  <c:pt idx="19">
                    <c:v>CASH</c:v>
                  </c:pt>
                  <c:pt idx="20">
                    <c:v>CARD</c:v>
                  </c:pt>
                  <c:pt idx="21">
                    <c:v>CASH</c:v>
                  </c:pt>
                  <c:pt idx="22">
                    <c:v>CARD</c:v>
                  </c:pt>
                  <c:pt idx="23">
                    <c:v>CASH</c:v>
                  </c:pt>
                  <c:pt idx="24">
                    <c:v>CASH</c:v>
                  </c:pt>
                </c:lvl>
                <c:lvl>
                  <c:pt idx="0">
                    <c:v>JUICE</c:v>
                  </c:pt>
                  <c:pt idx="1">
                    <c:v>WHEAT</c:v>
                  </c:pt>
                  <c:pt idx="2">
                    <c:v>BODY WASH</c:v>
                  </c:pt>
                  <c:pt idx="3">
                    <c:v>COSMETICS</c:v>
                  </c:pt>
                  <c:pt idx="4">
                    <c:v>DIARY MILK</c:v>
                  </c:pt>
                  <c:pt idx="5">
                    <c:v>FACE WASH</c:v>
                  </c:pt>
                  <c:pt idx="6">
                    <c:v>FRUITS</c:v>
                  </c:pt>
                  <c:pt idx="7">
                    <c:v>GRAINS</c:v>
                  </c:pt>
                  <c:pt idx="8">
                    <c:v>GROCERY</c:v>
                  </c:pt>
                  <c:pt idx="9">
                    <c:v>ICE CREAM</c:v>
                  </c:pt>
                  <c:pt idx="10">
                    <c:v>KIT KAT</c:v>
                  </c:pt>
                  <c:pt idx="11">
                    <c:v>MAGGIE</c:v>
                  </c:pt>
                  <c:pt idx="12">
                    <c:v>MILK</c:v>
                  </c:pt>
                  <c:pt idx="13">
                    <c:v>NOTE BOOK</c:v>
                  </c:pt>
                  <c:pt idx="14">
                    <c:v>PEN</c:v>
                  </c:pt>
                  <c:pt idx="15">
                    <c:v>PERSONAL CARE</c:v>
                  </c:pt>
                  <c:pt idx="16">
                    <c:v>ROSE WATER</c:v>
                  </c:pt>
                  <c:pt idx="17">
                    <c:v>SMART PHONES</c:v>
                  </c:pt>
                  <c:pt idx="18">
                    <c:v>SOAP</c:v>
                  </c:pt>
                  <c:pt idx="19">
                    <c:v>SUGAR</c:v>
                  </c:pt>
                  <c:pt idx="20">
                    <c:v>SUNSCEERN</c:v>
                  </c:pt>
                  <c:pt idx="21">
                    <c:v>TOOTHPASTE</c:v>
                  </c:pt>
                  <c:pt idx="22">
                    <c:v>TOYS</c:v>
                  </c:pt>
                  <c:pt idx="23">
                    <c:v>VEGETABLES</c:v>
                  </c:pt>
                  <c:pt idx="24">
                    <c:v>WATCH</c:v>
                  </c:pt>
                </c:lvl>
              </c:multiLvlStrCache>
            </c:multiLvlStrRef>
          </c:cat>
          <c:val>
            <c:numRef>
              <c:f>'Pivot Table'!$B$47:$B$97</c:f>
              <c:numCache>
                <c:formatCode>General</c:formatCode>
                <c:ptCount val="25"/>
                <c:pt idx="0">
                  <c:v>430</c:v>
                </c:pt>
                <c:pt idx="1">
                  <c:v>250</c:v>
                </c:pt>
                <c:pt idx="2">
                  <c:v>740</c:v>
                </c:pt>
                <c:pt idx="3">
                  <c:v>500</c:v>
                </c:pt>
                <c:pt idx="4">
                  <c:v>200</c:v>
                </c:pt>
                <c:pt idx="5">
                  <c:v>900</c:v>
                </c:pt>
                <c:pt idx="6">
                  <c:v>350</c:v>
                </c:pt>
                <c:pt idx="7">
                  <c:v>300</c:v>
                </c:pt>
                <c:pt idx="8">
                  <c:v>250</c:v>
                </c:pt>
                <c:pt idx="9">
                  <c:v>560</c:v>
                </c:pt>
                <c:pt idx="10">
                  <c:v>80</c:v>
                </c:pt>
                <c:pt idx="11">
                  <c:v>100</c:v>
                </c:pt>
                <c:pt idx="12">
                  <c:v>440</c:v>
                </c:pt>
                <c:pt idx="13">
                  <c:v>650</c:v>
                </c:pt>
                <c:pt idx="14">
                  <c:v>400</c:v>
                </c:pt>
                <c:pt idx="15">
                  <c:v>420</c:v>
                </c:pt>
                <c:pt idx="16">
                  <c:v>633</c:v>
                </c:pt>
                <c:pt idx="17">
                  <c:v>670</c:v>
                </c:pt>
                <c:pt idx="18">
                  <c:v>600</c:v>
                </c:pt>
                <c:pt idx="19">
                  <c:v>110</c:v>
                </c:pt>
                <c:pt idx="20">
                  <c:v>300</c:v>
                </c:pt>
                <c:pt idx="21">
                  <c:v>700</c:v>
                </c:pt>
                <c:pt idx="22">
                  <c:v>600</c:v>
                </c:pt>
                <c:pt idx="23">
                  <c:v>350</c:v>
                </c:pt>
                <c:pt idx="24">
                  <c:v>200</c:v>
                </c:pt>
              </c:numCache>
            </c:numRef>
          </c:val>
          <c:extLst>
            <c:ext xmlns:c16="http://schemas.microsoft.com/office/drawing/2014/chart" uri="{C3380CC4-5D6E-409C-BE32-E72D297353CC}">
              <c16:uniqueId val="{00000032-5E2E-4C4D-97FA-DEBF933B71F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Table!PivotTable10</c:name>
    <c:fmtId val="1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11000">
                <a:srgbClr val="92D050">
                  <a:lumMod val="92000"/>
                </a:srgbClr>
              </a:gs>
              <a:gs pos="50000">
                <a:srgbClr val="FFFF00"/>
              </a:gs>
            </a:gsLst>
            <a:lin ang="8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Table'!$N$51</c:f>
              <c:strCache>
                <c:ptCount val="1"/>
                <c:pt idx="0">
                  <c:v>Total</c:v>
                </c:pt>
              </c:strCache>
            </c:strRef>
          </c:tx>
          <c:spPr>
            <a:gradFill rotWithShape="1">
              <a:gsLst>
                <a:gs pos="11000">
                  <a:srgbClr val="92D050">
                    <a:lumMod val="92000"/>
                  </a:srgbClr>
                </a:gs>
                <a:gs pos="50000">
                  <a:srgbClr val="FFFF00"/>
                </a:gs>
              </a:gsLst>
              <a:lin ang="8400000" scaled="0"/>
            </a:gradFill>
            <a:ln w="9525" cap="flat" cmpd="sng" algn="ctr">
              <a:solidFill>
                <a:schemeClr val="accent1">
                  <a:shade val="95000"/>
                </a:schemeClr>
              </a:solidFill>
              <a:round/>
            </a:ln>
            <a:effectLst/>
          </c:spPr>
          <c:cat>
            <c:strRef>
              <c:f>'Pivot Table'!$M$52:$M$77</c:f>
              <c:strCache>
                <c:ptCount val="25"/>
                <c:pt idx="0">
                  <c:v>AADHI</c:v>
                </c:pt>
                <c:pt idx="1">
                  <c:v>ANU</c:v>
                </c:pt>
                <c:pt idx="2">
                  <c:v>BALA</c:v>
                </c:pt>
                <c:pt idx="3">
                  <c:v>BALAJI</c:v>
                </c:pt>
                <c:pt idx="4">
                  <c:v>DYANA</c:v>
                </c:pt>
                <c:pt idx="5">
                  <c:v>GIRIJA</c:v>
                </c:pt>
                <c:pt idx="6">
                  <c:v>HARAN</c:v>
                </c:pt>
                <c:pt idx="7">
                  <c:v>HARI</c:v>
                </c:pt>
                <c:pt idx="8">
                  <c:v>JONI</c:v>
                </c:pt>
                <c:pt idx="9">
                  <c:v>KATHIR</c:v>
                </c:pt>
                <c:pt idx="10">
                  <c:v>KRISHNA</c:v>
                </c:pt>
                <c:pt idx="11">
                  <c:v>KUZHAL</c:v>
                </c:pt>
                <c:pt idx="12">
                  <c:v>LOGESH</c:v>
                </c:pt>
                <c:pt idx="13">
                  <c:v>MAINA</c:v>
                </c:pt>
                <c:pt idx="14">
                  <c:v>MITHU</c:v>
                </c:pt>
                <c:pt idx="15">
                  <c:v>MURALI</c:v>
                </c:pt>
                <c:pt idx="16">
                  <c:v>NALA</c:v>
                </c:pt>
                <c:pt idx="17">
                  <c:v>PRASANTH</c:v>
                </c:pt>
                <c:pt idx="18">
                  <c:v>REBE</c:v>
                </c:pt>
                <c:pt idx="19">
                  <c:v>RIYA</c:v>
                </c:pt>
                <c:pt idx="20">
                  <c:v>SANKITH</c:v>
                </c:pt>
                <c:pt idx="21">
                  <c:v>SHRI</c:v>
                </c:pt>
                <c:pt idx="22">
                  <c:v>SIMBA</c:v>
                </c:pt>
                <c:pt idx="23">
                  <c:v>SURYA</c:v>
                </c:pt>
                <c:pt idx="24">
                  <c:v>VETRI</c:v>
                </c:pt>
              </c:strCache>
            </c:strRef>
          </c:cat>
          <c:val>
            <c:numRef>
              <c:f>'Pivot Table'!$N$52:$N$77</c:f>
              <c:numCache>
                <c:formatCode>General</c:formatCode>
                <c:ptCount val="25"/>
                <c:pt idx="0">
                  <c:v>23211</c:v>
                </c:pt>
                <c:pt idx="1">
                  <c:v>23487</c:v>
                </c:pt>
                <c:pt idx="2">
                  <c:v>19460</c:v>
                </c:pt>
                <c:pt idx="3">
                  <c:v>21633</c:v>
                </c:pt>
                <c:pt idx="4">
                  <c:v>19138</c:v>
                </c:pt>
                <c:pt idx="5">
                  <c:v>19184</c:v>
                </c:pt>
                <c:pt idx="6">
                  <c:v>22948</c:v>
                </c:pt>
                <c:pt idx="7">
                  <c:v>22809</c:v>
                </c:pt>
                <c:pt idx="8">
                  <c:v>21489</c:v>
                </c:pt>
                <c:pt idx="9">
                  <c:v>25232</c:v>
                </c:pt>
                <c:pt idx="10">
                  <c:v>27790</c:v>
                </c:pt>
                <c:pt idx="11">
                  <c:v>22455</c:v>
                </c:pt>
                <c:pt idx="12">
                  <c:v>21777</c:v>
                </c:pt>
                <c:pt idx="13">
                  <c:v>18589</c:v>
                </c:pt>
                <c:pt idx="14">
                  <c:v>25369</c:v>
                </c:pt>
                <c:pt idx="15">
                  <c:v>27433</c:v>
                </c:pt>
                <c:pt idx="16">
                  <c:v>20996</c:v>
                </c:pt>
                <c:pt idx="17">
                  <c:v>21888</c:v>
                </c:pt>
                <c:pt idx="18">
                  <c:v>21407</c:v>
                </c:pt>
                <c:pt idx="19">
                  <c:v>20496</c:v>
                </c:pt>
                <c:pt idx="20">
                  <c:v>22160</c:v>
                </c:pt>
                <c:pt idx="21">
                  <c:v>22792</c:v>
                </c:pt>
                <c:pt idx="22">
                  <c:v>21836</c:v>
                </c:pt>
                <c:pt idx="23">
                  <c:v>23575</c:v>
                </c:pt>
                <c:pt idx="24">
                  <c:v>22939</c:v>
                </c:pt>
              </c:numCache>
            </c:numRef>
          </c:val>
          <c:extLst>
            <c:ext xmlns:c16="http://schemas.microsoft.com/office/drawing/2014/chart" uri="{C3380CC4-5D6E-409C-BE32-E72D297353CC}">
              <c16:uniqueId val="{00000000-8881-4D09-8D73-CBF573B41865}"/>
            </c:ext>
          </c:extLst>
        </c:ser>
        <c:dLbls>
          <c:showLegendKey val="0"/>
          <c:showVal val="0"/>
          <c:showCatName val="0"/>
          <c:showSerName val="0"/>
          <c:showPercent val="0"/>
          <c:showBubbleSize val="0"/>
        </c:dLbls>
        <c:axId val="2036224064"/>
        <c:axId val="2036263904"/>
      </c:areaChart>
      <c:catAx>
        <c:axId val="203622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6263904"/>
        <c:crosses val="autoZero"/>
        <c:auto val="1"/>
        <c:lblAlgn val="ctr"/>
        <c:lblOffset val="100"/>
        <c:noMultiLvlLbl val="0"/>
      </c:catAx>
      <c:valAx>
        <c:axId val="2036263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62240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UNIT</a:t>
            </a:r>
            <a:r>
              <a:rPr lang="en-US" baseline="0"/>
              <a:t> SALE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Table'!$A$4:$A$29</c:f>
              <c:strCache>
                <c:ptCount val="25"/>
                <c:pt idx="0">
                  <c:v>AADHI</c:v>
                </c:pt>
                <c:pt idx="1">
                  <c:v>ANU</c:v>
                </c:pt>
                <c:pt idx="2">
                  <c:v>BALA</c:v>
                </c:pt>
                <c:pt idx="3">
                  <c:v>BALAJI</c:v>
                </c:pt>
                <c:pt idx="4">
                  <c:v>DYANA</c:v>
                </c:pt>
                <c:pt idx="5">
                  <c:v>GIRIJA</c:v>
                </c:pt>
                <c:pt idx="6">
                  <c:v>HARAN</c:v>
                </c:pt>
                <c:pt idx="7">
                  <c:v>HARI</c:v>
                </c:pt>
                <c:pt idx="8">
                  <c:v>JONI</c:v>
                </c:pt>
                <c:pt idx="9">
                  <c:v>KATHIR</c:v>
                </c:pt>
                <c:pt idx="10">
                  <c:v>KRISHNA</c:v>
                </c:pt>
                <c:pt idx="11">
                  <c:v>KUZHAL</c:v>
                </c:pt>
                <c:pt idx="12">
                  <c:v>LOGESH</c:v>
                </c:pt>
                <c:pt idx="13">
                  <c:v>MAINA</c:v>
                </c:pt>
                <c:pt idx="14">
                  <c:v>MITHU</c:v>
                </c:pt>
                <c:pt idx="15">
                  <c:v>MURALI</c:v>
                </c:pt>
                <c:pt idx="16">
                  <c:v>NALA</c:v>
                </c:pt>
                <c:pt idx="17">
                  <c:v>PRASANTH</c:v>
                </c:pt>
                <c:pt idx="18">
                  <c:v>REBE</c:v>
                </c:pt>
                <c:pt idx="19">
                  <c:v>RIYA</c:v>
                </c:pt>
                <c:pt idx="20">
                  <c:v>SANKITH</c:v>
                </c:pt>
                <c:pt idx="21">
                  <c:v>SHRI</c:v>
                </c:pt>
                <c:pt idx="22">
                  <c:v>SIMBA</c:v>
                </c:pt>
                <c:pt idx="23">
                  <c:v>SURYA</c:v>
                </c:pt>
                <c:pt idx="24">
                  <c:v>VETRI</c:v>
                </c:pt>
              </c:strCache>
            </c:strRef>
          </c:cat>
          <c:val>
            <c:numRef>
              <c:f>'Pivot Table'!$B$4:$B$29</c:f>
              <c:numCache>
                <c:formatCode>General</c:formatCode>
                <c:ptCount val="25"/>
                <c:pt idx="0">
                  <c:v>5</c:v>
                </c:pt>
                <c:pt idx="1">
                  <c:v>100</c:v>
                </c:pt>
                <c:pt idx="2">
                  <c:v>30</c:v>
                </c:pt>
                <c:pt idx="3">
                  <c:v>50</c:v>
                </c:pt>
                <c:pt idx="4">
                  <c:v>15</c:v>
                </c:pt>
                <c:pt idx="5">
                  <c:v>5</c:v>
                </c:pt>
                <c:pt idx="6">
                  <c:v>50</c:v>
                </c:pt>
                <c:pt idx="7">
                  <c:v>35</c:v>
                </c:pt>
                <c:pt idx="8">
                  <c:v>20</c:v>
                </c:pt>
                <c:pt idx="9">
                  <c:v>60</c:v>
                </c:pt>
                <c:pt idx="10">
                  <c:v>120</c:v>
                </c:pt>
                <c:pt idx="11">
                  <c:v>25</c:v>
                </c:pt>
                <c:pt idx="12">
                  <c:v>20</c:v>
                </c:pt>
                <c:pt idx="13">
                  <c:v>10</c:v>
                </c:pt>
                <c:pt idx="14">
                  <c:v>30</c:v>
                </c:pt>
                <c:pt idx="15">
                  <c:v>70</c:v>
                </c:pt>
                <c:pt idx="16">
                  <c:v>60</c:v>
                </c:pt>
                <c:pt idx="17">
                  <c:v>10</c:v>
                </c:pt>
                <c:pt idx="18">
                  <c:v>30</c:v>
                </c:pt>
                <c:pt idx="19">
                  <c:v>20</c:v>
                </c:pt>
                <c:pt idx="20">
                  <c:v>40</c:v>
                </c:pt>
                <c:pt idx="21">
                  <c:v>30</c:v>
                </c:pt>
                <c:pt idx="22">
                  <c:v>90</c:v>
                </c:pt>
                <c:pt idx="23">
                  <c:v>40</c:v>
                </c:pt>
                <c:pt idx="24">
                  <c:v>50</c:v>
                </c:pt>
              </c:numCache>
            </c:numRef>
          </c:val>
          <c:extLst>
            <c:ext xmlns:c16="http://schemas.microsoft.com/office/drawing/2014/chart" uri="{C3380CC4-5D6E-409C-BE32-E72D297353CC}">
              <c16:uniqueId val="{00000000-7603-4E6C-BF8B-B1BF0C50F5FE}"/>
            </c:ext>
          </c:extLst>
        </c:ser>
        <c:dLbls>
          <c:showLegendKey val="0"/>
          <c:showVal val="1"/>
          <c:showCatName val="0"/>
          <c:showSerName val="0"/>
          <c:showPercent val="0"/>
          <c:showBubbleSize val="0"/>
        </c:dLbls>
        <c:gapWidth val="150"/>
        <c:gapDepth val="0"/>
        <c:shape val="box"/>
        <c:axId val="2109258480"/>
        <c:axId val="2109264240"/>
        <c:axId val="949644768"/>
      </c:bar3DChart>
      <c:catAx>
        <c:axId val="210925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4240"/>
        <c:crosses val="autoZero"/>
        <c:auto val="1"/>
        <c:lblAlgn val="ctr"/>
        <c:lblOffset val="100"/>
        <c:noMultiLvlLbl val="0"/>
      </c:catAx>
      <c:valAx>
        <c:axId val="210926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58480"/>
        <c:crosses val="autoZero"/>
        <c:crossBetween val="between"/>
      </c:valAx>
      <c:serAx>
        <c:axId val="94964476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424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[Student_Performance_Analysis_Excel.xlsx]Pivot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w="25400">
            <a:solidFill>
              <a:schemeClr val="lt1"/>
            </a:solidFill>
          </a:ln>
          <a:effectLst/>
          <a:sp3d contourW="25400">
            <a:contourClr>
              <a:schemeClr val="lt1"/>
            </a:contourClr>
          </a:sp3d>
        </c:spPr>
        <c:dLbl>
          <c:idx val="0"/>
          <c:layout>
            <c:manualLayout>
              <c:x val="7.3512727542151157E-2"/>
              <c:y val="-0.27142030937466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77000"/>
            </a:schemeClr>
          </a:solidFill>
          <a:ln w="25400">
            <a:solidFill>
              <a:schemeClr val="lt1"/>
            </a:solidFill>
          </a:ln>
          <a:effectLst/>
          <a:sp3d contourW="25400">
            <a:contourClr>
              <a:schemeClr val="lt1"/>
            </a:contourClr>
          </a:sp3d>
        </c:spPr>
        <c:dLbl>
          <c:idx val="0"/>
          <c:layout>
            <c:manualLayout>
              <c:x val="-7.6453236643837214E-2"/>
              <c:y val="-0.11078379974476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c:f>
              <c:strCache>
                <c:ptCount val="1"/>
                <c:pt idx="0">
                  <c:v>Total</c:v>
                </c:pt>
              </c:strCache>
            </c:strRef>
          </c:tx>
          <c:explosion val="34"/>
          <c:dPt>
            <c:idx val="0"/>
            <c:bubble3D val="0"/>
            <c:explosion val="11"/>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3A44-4B61-A5B2-672AFF0C6136}"/>
              </c:ext>
            </c:extLst>
          </c:dPt>
          <c:dPt>
            <c:idx val="1"/>
            <c:bubble3D val="0"/>
            <c:explosion val="54"/>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44-4B61-A5B2-672AFF0C6136}"/>
              </c:ext>
            </c:extLst>
          </c:dPt>
          <c:dLbls>
            <c:dLbl>
              <c:idx val="0"/>
              <c:layout>
                <c:manualLayout>
                  <c:x val="7.3512727542151157E-2"/>
                  <c:y val="-0.27142030937466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A44-4B61-A5B2-672AFF0C6136}"/>
                </c:ext>
              </c:extLst>
            </c:dLbl>
            <c:dLbl>
              <c:idx val="1"/>
              <c:layout>
                <c:manualLayout>
                  <c:x val="-7.6453236643837214E-2"/>
                  <c:y val="-0.110783799744761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44-4B61-A5B2-672AFF0C61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Table'!$A$34:$A$36</c:f>
              <c:strCache>
                <c:ptCount val="2"/>
                <c:pt idx="0">
                  <c:v>MEMBER </c:v>
                </c:pt>
                <c:pt idx="1">
                  <c:v>NORMAL</c:v>
                </c:pt>
              </c:strCache>
            </c:strRef>
          </c:cat>
          <c:val>
            <c:numRef>
              <c:f>'Pivot Table'!$B$34:$B$36</c:f>
              <c:numCache>
                <c:formatCode>General</c:formatCode>
                <c:ptCount val="2"/>
                <c:pt idx="0">
                  <c:v>15</c:v>
                </c:pt>
                <c:pt idx="1">
                  <c:v>10</c:v>
                </c:pt>
              </c:numCache>
            </c:numRef>
          </c:val>
          <c:extLst>
            <c:ext xmlns:c16="http://schemas.microsoft.com/office/drawing/2014/chart" uri="{C3380CC4-5D6E-409C-BE32-E72D297353CC}">
              <c16:uniqueId val="{00000000-3A44-4B61-A5B2-672AFF0C6136}"/>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Table!PivotTable5</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Table'!$M$34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Table'!$L$35:$L$38</c:f>
              <c:strCache>
                <c:ptCount val="3"/>
                <c:pt idx="0">
                  <c:v>A</c:v>
                </c:pt>
                <c:pt idx="1">
                  <c:v>B</c:v>
                </c:pt>
                <c:pt idx="2">
                  <c:v>C</c:v>
                </c:pt>
              </c:strCache>
            </c:strRef>
          </c:cat>
          <c:val>
            <c:numRef>
              <c:f>'Pivot Table'!$M$35:$M$38</c:f>
              <c:numCache>
                <c:formatCode>General</c:formatCode>
                <c:ptCount val="3"/>
                <c:pt idx="0">
                  <c:v>190400</c:v>
                </c:pt>
                <c:pt idx="1">
                  <c:v>183900</c:v>
                </c:pt>
                <c:pt idx="2">
                  <c:v>90420</c:v>
                </c:pt>
              </c:numCache>
            </c:numRef>
          </c:val>
          <c:extLst>
            <c:ext xmlns:c16="http://schemas.microsoft.com/office/drawing/2014/chart" uri="{C3380CC4-5D6E-409C-BE32-E72D297353CC}">
              <c16:uniqueId val="{00000000-C224-4618-9BA4-AFE48453E458}"/>
            </c:ext>
          </c:extLst>
        </c:ser>
        <c:dLbls>
          <c:showLegendKey val="0"/>
          <c:showVal val="0"/>
          <c:showCatName val="0"/>
          <c:showSerName val="0"/>
          <c:showPercent val="0"/>
          <c:showBubbleSize val="0"/>
        </c:dLbls>
        <c:gapWidth val="150"/>
        <c:shape val="box"/>
        <c:axId val="2036220224"/>
        <c:axId val="2036217824"/>
        <c:axId val="0"/>
      </c:bar3DChart>
      <c:catAx>
        <c:axId val="2036220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217824"/>
        <c:crosses val="autoZero"/>
        <c:auto val="1"/>
        <c:lblAlgn val="ctr"/>
        <c:lblOffset val="100"/>
        <c:noMultiLvlLbl val="0"/>
      </c:catAx>
      <c:valAx>
        <c:axId val="20362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22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Table!PivotTable7</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a:t>
            </a:r>
            <a:r>
              <a:rPr lang="en-US" baseline="0"/>
              <a:t> METHOD</a:t>
            </a:r>
            <a:endParaRPr lang="en-US"/>
          </a:p>
        </c:rich>
      </c:tx>
      <c:layout>
        <c:manualLayout>
          <c:xMode val="edge"/>
          <c:yMode val="edge"/>
          <c:x val="0.44932349218464168"/>
          <c:y val="2.7406968464436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765225941590236"/>
          <c:y val="0.21813557189269761"/>
          <c:w val="0.39838808167444034"/>
          <c:h val="0.67941613448980298"/>
        </c:manualLayout>
      </c:layout>
      <c:doughnutChart>
        <c:varyColors val="1"/>
        <c:ser>
          <c:idx val="0"/>
          <c:order val="0"/>
          <c:tx>
            <c:strRef>
              <c:f>'Pivot Table'!$B$46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46CC-402E-8484-91DC30B46E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46CC-402E-8484-91DC30B46E2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46CC-402E-8484-91DC30B46E2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CC-402E-8484-91DC30B46E2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CC-402E-8484-91DC30B46E2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6CC-402E-8484-91DC30B46E2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46CC-402E-8484-91DC30B46E2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6CC-402E-8484-91DC30B46E2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6CC-402E-8484-91DC30B46E2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6CC-402E-8484-91DC30B46E2B}"/>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46CC-402E-8484-91DC30B46E2B}"/>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6CC-402E-8484-91DC30B46E2B}"/>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46CC-402E-8484-91DC30B46E2B}"/>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6CC-402E-8484-91DC30B46E2B}"/>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6CC-402E-8484-91DC30B46E2B}"/>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6CC-402E-8484-91DC30B46E2B}"/>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6CC-402E-8484-91DC30B46E2B}"/>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6CC-402E-8484-91DC30B46E2B}"/>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46CC-402E-8484-91DC30B46E2B}"/>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6CC-402E-8484-91DC30B46E2B}"/>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6CC-402E-8484-91DC30B46E2B}"/>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46CC-402E-8484-91DC30B46E2B}"/>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46CC-402E-8484-91DC30B46E2B}"/>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46CC-402E-8484-91DC30B46E2B}"/>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46CC-402E-8484-91DC30B46E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Table'!$A$47:$A$97</c:f>
              <c:multiLvlStrCache>
                <c:ptCount val="25"/>
                <c:lvl>
                  <c:pt idx="0">
                    <c:v>CARD</c:v>
                  </c:pt>
                  <c:pt idx="1">
                    <c:v>CASH</c:v>
                  </c:pt>
                  <c:pt idx="2">
                    <c:v>CARD</c:v>
                  </c:pt>
                  <c:pt idx="3">
                    <c:v>CARD</c:v>
                  </c:pt>
                  <c:pt idx="4">
                    <c:v>CARD</c:v>
                  </c:pt>
                  <c:pt idx="5">
                    <c:v>CARD</c:v>
                  </c:pt>
                  <c:pt idx="6">
                    <c:v>CASH</c:v>
                  </c:pt>
                  <c:pt idx="7">
                    <c:v>CARD</c:v>
                  </c:pt>
                  <c:pt idx="8">
                    <c:v>CASH</c:v>
                  </c:pt>
                  <c:pt idx="9">
                    <c:v>CASH</c:v>
                  </c:pt>
                  <c:pt idx="10">
                    <c:v>CARD</c:v>
                  </c:pt>
                  <c:pt idx="11">
                    <c:v>CARD</c:v>
                  </c:pt>
                  <c:pt idx="12">
                    <c:v>CASH</c:v>
                  </c:pt>
                  <c:pt idx="13">
                    <c:v>CASH</c:v>
                  </c:pt>
                  <c:pt idx="14">
                    <c:v>CARD</c:v>
                  </c:pt>
                  <c:pt idx="15">
                    <c:v>CASH</c:v>
                  </c:pt>
                  <c:pt idx="16">
                    <c:v>CASH</c:v>
                  </c:pt>
                  <c:pt idx="17">
                    <c:v>CARD</c:v>
                  </c:pt>
                  <c:pt idx="18">
                    <c:v>CASH</c:v>
                  </c:pt>
                  <c:pt idx="19">
                    <c:v>CASH</c:v>
                  </c:pt>
                  <c:pt idx="20">
                    <c:v>CARD</c:v>
                  </c:pt>
                  <c:pt idx="21">
                    <c:v>CASH</c:v>
                  </c:pt>
                  <c:pt idx="22">
                    <c:v>CARD</c:v>
                  </c:pt>
                  <c:pt idx="23">
                    <c:v>CASH</c:v>
                  </c:pt>
                  <c:pt idx="24">
                    <c:v>CASH</c:v>
                  </c:pt>
                </c:lvl>
                <c:lvl>
                  <c:pt idx="0">
                    <c:v>JUICE</c:v>
                  </c:pt>
                  <c:pt idx="1">
                    <c:v>WHEAT</c:v>
                  </c:pt>
                  <c:pt idx="2">
                    <c:v>BODY WASH</c:v>
                  </c:pt>
                  <c:pt idx="3">
                    <c:v>COSMETICS</c:v>
                  </c:pt>
                  <c:pt idx="4">
                    <c:v>DIARY MILK</c:v>
                  </c:pt>
                  <c:pt idx="5">
                    <c:v>FACE WASH</c:v>
                  </c:pt>
                  <c:pt idx="6">
                    <c:v>FRUITS</c:v>
                  </c:pt>
                  <c:pt idx="7">
                    <c:v>GRAINS</c:v>
                  </c:pt>
                  <c:pt idx="8">
                    <c:v>GROCERY</c:v>
                  </c:pt>
                  <c:pt idx="9">
                    <c:v>ICE CREAM</c:v>
                  </c:pt>
                  <c:pt idx="10">
                    <c:v>KIT KAT</c:v>
                  </c:pt>
                  <c:pt idx="11">
                    <c:v>MAGGIE</c:v>
                  </c:pt>
                  <c:pt idx="12">
                    <c:v>MILK</c:v>
                  </c:pt>
                  <c:pt idx="13">
                    <c:v>NOTE BOOK</c:v>
                  </c:pt>
                  <c:pt idx="14">
                    <c:v>PEN</c:v>
                  </c:pt>
                  <c:pt idx="15">
                    <c:v>PERSONAL CARE</c:v>
                  </c:pt>
                  <c:pt idx="16">
                    <c:v>ROSE WATER</c:v>
                  </c:pt>
                  <c:pt idx="17">
                    <c:v>SMART PHONES</c:v>
                  </c:pt>
                  <c:pt idx="18">
                    <c:v>SOAP</c:v>
                  </c:pt>
                  <c:pt idx="19">
                    <c:v>SUGAR</c:v>
                  </c:pt>
                  <c:pt idx="20">
                    <c:v>SUNSCEERN</c:v>
                  </c:pt>
                  <c:pt idx="21">
                    <c:v>TOOTHPASTE</c:v>
                  </c:pt>
                  <c:pt idx="22">
                    <c:v>TOYS</c:v>
                  </c:pt>
                  <c:pt idx="23">
                    <c:v>VEGETABLES</c:v>
                  </c:pt>
                  <c:pt idx="24">
                    <c:v>WATCH</c:v>
                  </c:pt>
                </c:lvl>
              </c:multiLvlStrCache>
            </c:multiLvlStrRef>
          </c:cat>
          <c:val>
            <c:numRef>
              <c:f>'Pivot Table'!$B$47:$B$97</c:f>
              <c:numCache>
                <c:formatCode>General</c:formatCode>
                <c:ptCount val="25"/>
                <c:pt idx="0">
                  <c:v>430</c:v>
                </c:pt>
                <c:pt idx="1">
                  <c:v>250</c:v>
                </c:pt>
                <c:pt idx="2">
                  <c:v>740</c:v>
                </c:pt>
                <c:pt idx="3">
                  <c:v>500</c:v>
                </c:pt>
                <c:pt idx="4">
                  <c:v>200</c:v>
                </c:pt>
                <c:pt idx="5">
                  <c:v>900</c:v>
                </c:pt>
                <c:pt idx="6">
                  <c:v>350</c:v>
                </c:pt>
                <c:pt idx="7">
                  <c:v>300</c:v>
                </c:pt>
                <c:pt idx="8">
                  <c:v>250</c:v>
                </c:pt>
                <c:pt idx="9">
                  <c:v>560</c:v>
                </c:pt>
                <c:pt idx="10">
                  <c:v>80</c:v>
                </c:pt>
                <c:pt idx="11">
                  <c:v>100</c:v>
                </c:pt>
                <c:pt idx="12">
                  <c:v>440</c:v>
                </c:pt>
                <c:pt idx="13">
                  <c:v>650</c:v>
                </c:pt>
                <c:pt idx="14">
                  <c:v>400</c:v>
                </c:pt>
                <c:pt idx="15">
                  <c:v>420</c:v>
                </c:pt>
                <c:pt idx="16">
                  <c:v>633</c:v>
                </c:pt>
                <c:pt idx="17">
                  <c:v>670</c:v>
                </c:pt>
                <c:pt idx="18">
                  <c:v>600</c:v>
                </c:pt>
                <c:pt idx="19">
                  <c:v>110</c:v>
                </c:pt>
                <c:pt idx="20">
                  <c:v>300</c:v>
                </c:pt>
                <c:pt idx="21">
                  <c:v>700</c:v>
                </c:pt>
                <c:pt idx="22">
                  <c:v>600</c:v>
                </c:pt>
                <c:pt idx="23">
                  <c:v>350</c:v>
                </c:pt>
                <c:pt idx="24">
                  <c:v>200</c:v>
                </c:pt>
              </c:numCache>
            </c:numRef>
          </c:val>
          <c:extLst>
            <c:ext xmlns:c16="http://schemas.microsoft.com/office/drawing/2014/chart" uri="{C3380CC4-5D6E-409C-BE32-E72D297353CC}">
              <c16:uniqueId val="{00000000-46CC-402E-8484-91DC30B46E2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Table!PivotTable10</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Table'!$N$51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Table'!$M$52:$M$77</c:f>
              <c:strCache>
                <c:ptCount val="25"/>
                <c:pt idx="0">
                  <c:v>AADHI</c:v>
                </c:pt>
                <c:pt idx="1">
                  <c:v>ANU</c:v>
                </c:pt>
                <c:pt idx="2">
                  <c:v>BALA</c:v>
                </c:pt>
                <c:pt idx="3">
                  <c:v>BALAJI</c:v>
                </c:pt>
                <c:pt idx="4">
                  <c:v>DYANA</c:v>
                </c:pt>
                <c:pt idx="5">
                  <c:v>GIRIJA</c:v>
                </c:pt>
                <c:pt idx="6">
                  <c:v>HARAN</c:v>
                </c:pt>
                <c:pt idx="7">
                  <c:v>HARI</c:v>
                </c:pt>
                <c:pt idx="8">
                  <c:v>JONI</c:v>
                </c:pt>
                <c:pt idx="9">
                  <c:v>KATHIR</c:v>
                </c:pt>
                <c:pt idx="10">
                  <c:v>KRISHNA</c:v>
                </c:pt>
                <c:pt idx="11">
                  <c:v>KUZHAL</c:v>
                </c:pt>
                <c:pt idx="12">
                  <c:v>LOGESH</c:v>
                </c:pt>
                <c:pt idx="13">
                  <c:v>MAINA</c:v>
                </c:pt>
                <c:pt idx="14">
                  <c:v>MITHU</c:v>
                </c:pt>
                <c:pt idx="15">
                  <c:v>MURALI</c:v>
                </c:pt>
                <c:pt idx="16">
                  <c:v>NALA</c:v>
                </c:pt>
                <c:pt idx="17">
                  <c:v>PRASANTH</c:v>
                </c:pt>
                <c:pt idx="18">
                  <c:v>REBE</c:v>
                </c:pt>
                <c:pt idx="19">
                  <c:v>RIYA</c:v>
                </c:pt>
                <c:pt idx="20">
                  <c:v>SANKITH</c:v>
                </c:pt>
                <c:pt idx="21">
                  <c:v>SHRI</c:v>
                </c:pt>
                <c:pt idx="22">
                  <c:v>SIMBA</c:v>
                </c:pt>
                <c:pt idx="23">
                  <c:v>SURYA</c:v>
                </c:pt>
                <c:pt idx="24">
                  <c:v>VETRI</c:v>
                </c:pt>
              </c:strCache>
            </c:strRef>
          </c:cat>
          <c:val>
            <c:numRef>
              <c:f>'Pivot Table'!$N$52:$N$77</c:f>
              <c:numCache>
                <c:formatCode>General</c:formatCode>
                <c:ptCount val="25"/>
                <c:pt idx="0">
                  <c:v>23211</c:v>
                </c:pt>
                <c:pt idx="1">
                  <c:v>23487</c:v>
                </c:pt>
                <c:pt idx="2">
                  <c:v>19460</c:v>
                </c:pt>
                <c:pt idx="3">
                  <c:v>21633</c:v>
                </c:pt>
                <c:pt idx="4">
                  <c:v>19138</c:v>
                </c:pt>
                <c:pt idx="5">
                  <c:v>19184</c:v>
                </c:pt>
                <c:pt idx="6">
                  <c:v>22948</c:v>
                </c:pt>
                <c:pt idx="7">
                  <c:v>22809</c:v>
                </c:pt>
                <c:pt idx="8">
                  <c:v>21489</c:v>
                </c:pt>
                <c:pt idx="9">
                  <c:v>25232</c:v>
                </c:pt>
                <c:pt idx="10">
                  <c:v>27790</c:v>
                </c:pt>
                <c:pt idx="11">
                  <c:v>22455</c:v>
                </c:pt>
                <c:pt idx="12">
                  <c:v>21777</c:v>
                </c:pt>
                <c:pt idx="13">
                  <c:v>18589</c:v>
                </c:pt>
                <c:pt idx="14">
                  <c:v>25369</c:v>
                </c:pt>
                <c:pt idx="15">
                  <c:v>27433</c:v>
                </c:pt>
                <c:pt idx="16">
                  <c:v>20996</c:v>
                </c:pt>
                <c:pt idx="17">
                  <c:v>21888</c:v>
                </c:pt>
                <c:pt idx="18">
                  <c:v>21407</c:v>
                </c:pt>
                <c:pt idx="19">
                  <c:v>20496</c:v>
                </c:pt>
                <c:pt idx="20">
                  <c:v>22160</c:v>
                </c:pt>
                <c:pt idx="21">
                  <c:v>22792</c:v>
                </c:pt>
                <c:pt idx="22">
                  <c:v>21836</c:v>
                </c:pt>
                <c:pt idx="23">
                  <c:v>23575</c:v>
                </c:pt>
                <c:pt idx="24">
                  <c:v>22939</c:v>
                </c:pt>
              </c:numCache>
            </c:numRef>
          </c:val>
          <c:extLst>
            <c:ext xmlns:c16="http://schemas.microsoft.com/office/drawing/2014/chart" uri="{C3380CC4-5D6E-409C-BE32-E72D297353CC}">
              <c16:uniqueId val="{00000000-2B53-48BF-8133-A4EDCD42BE86}"/>
            </c:ext>
          </c:extLst>
        </c:ser>
        <c:dLbls>
          <c:showLegendKey val="0"/>
          <c:showVal val="0"/>
          <c:showCatName val="0"/>
          <c:showSerName val="0"/>
          <c:showPercent val="0"/>
          <c:showBubbleSize val="0"/>
        </c:dLbls>
        <c:axId val="2036224064"/>
        <c:axId val="2036263904"/>
      </c:areaChart>
      <c:catAx>
        <c:axId val="203622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6263904"/>
        <c:crosses val="autoZero"/>
        <c:auto val="1"/>
        <c:lblAlgn val="ctr"/>
        <c:lblOffset val="100"/>
        <c:noMultiLvlLbl val="0"/>
      </c:catAx>
      <c:valAx>
        <c:axId val="2036263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62240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[Student_Performance_Analysis_Excel.xlsx]Pivot Table!PivotTable3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Table'!$L$4:$L$29</c:f>
              <c:strCache>
                <c:ptCount val="25"/>
                <c:pt idx="0">
                  <c:v>JUICE</c:v>
                </c:pt>
                <c:pt idx="1">
                  <c:v>WHEAT</c:v>
                </c:pt>
                <c:pt idx="2">
                  <c:v>BODY WASH</c:v>
                </c:pt>
                <c:pt idx="3">
                  <c:v>COSMETICS</c:v>
                </c:pt>
                <c:pt idx="4">
                  <c:v>DIARY MILK</c:v>
                </c:pt>
                <c:pt idx="5">
                  <c:v>FACE WASH</c:v>
                </c:pt>
                <c:pt idx="6">
                  <c:v>FRUITS</c:v>
                </c:pt>
                <c:pt idx="7">
                  <c:v>GRAINS</c:v>
                </c:pt>
                <c:pt idx="8">
                  <c:v>GROCERY</c:v>
                </c:pt>
                <c:pt idx="9">
                  <c:v>ICE CREAM</c:v>
                </c:pt>
                <c:pt idx="10">
                  <c:v>KIT KAT</c:v>
                </c:pt>
                <c:pt idx="11">
                  <c:v>MAGGIE</c:v>
                </c:pt>
                <c:pt idx="12">
                  <c:v>MILK</c:v>
                </c:pt>
                <c:pt idx="13">
                  <c:v>NOTE BOOK</c:v>
                </c:pt>
                <c:pt idx="14">
                  <c:v>PEN</c:v>
                </c:pt>
                <c:pt idx="15">
                  <c:v>PERSONAL CARE</c:v>
                </c:pt>
                <c:pt idx="16">
                  <c:v>ROSE WATER</c:v>
                </c:pt>
                <c:pt idx="17">
                  <c:v>SMART PHONES</c:v>
                </c:pt>
                <c:pt idx="18">
                  <c:v>SOAP</c:v>
                </c:pt>
                <c:pt idx="19">
                  <c:v>SUGAR</c:v>
                </c:pt>
                <c:pt idx="20">
                  <c:v>SUNSCEERN</c:v>
                </c:pt>
                <c:pt idx="21">
                  <c:v>TOOTHPASTE</c:v>
                </c:pt>
                <c:pt idx="22">
                  <c:v>TOYS</c:v>
                </c:pt>
                <c:pt idx="23">
                  <c:v>VEGETABLES</c:v>
                </c:pt>
                <c:pt idx="24">
                  <c:v>WATCH</c:v>
                </c:pt>
              </c:strCache>
            </c:strRef>
          </c:cat>
          <c:val>
            <c:numRef>
              <c:f>'Pivot Table'!$M$4:$M$29</c:f>
              <c:numCache>
                <c:formatCode>General</c:formatCode>
                <c:ptCount val="25"/>
                <c:pt idx="0">
                  <c:v>430</c:v>
                </c:pt>
                <c:pt idx="1">
                  <c:v>250</c:v>
                </c:pt>
                <c:pt idx="2">
                  <c:v>740</c:v>
                </c:pt>
                <c:pt idx="3">
                  <c:v>500</c:v>
                </c:pt>
                <c:pt idx="4">
                  <c:v>200</c:v>
                </c:pt>
                <c:pt idx="5">
                  <c:v>900</c:v>
                </c:pt>
                <c:pt idx="6">
                  <c:v>350</c:v>
                </c:pt>
                <c:pt idx="7">
                  <c:v>300</c:v>
                </c:pt>
                <c:pt idx="8">
                  <c:v>250</c:v>
                </c:pt>
                <c:pt idx="9">
                  <c:v>560</c:v>
                </c:pt>
                <c:pt idx="10">
                  <c:v>80</c:v>
                </c:pt>
                <c:pt idx="11">
                  <c:v>100</c:v>
                </c:pt>
                <c:pt idx="12">
                  <c:v>440</c:v>
                </c:pt>
                <c:pt idx="13">
                  <c:v>650</c:v>
                </c:pt>
                <c:pt idx="14">
                  <c:v>400</c:v>
                </c:pt>
                <c:pt idx="15">
                  <c:v>420</c:v>
                </c:pt>
                <c:pt idx="16">
                  <c:v>633</c:v>
                </c:pt>
                <c:pt idx="17">
                  <c:v>670</c:v>
                </c:pt>
                <c:pt idx="18">
                  <c:v>600</c:v>
                </c:pt>
                <c:pt idx="19">
                  <c:v>110</c:v>
                </c:pt>
                <c:pt idx="20">
                  <c:v>300</c:v>
                </c:pt>
                <c:pt idx="21">
                  <c:v>700</c:v>
                </c:pt>
                <c:pt idx="22">
                  <c:v>600</c:v>
                </c:pt>
                <c:pt idx="23">
                  <c:v>350</c:v>
                </c:pt>
                <c:pt idx="24">
                  <c:v>200</c:v>
                </c:pt>
              </c:numCache>
            </c:numRef>
          </c:val>
          <c:smooth val="0"/>
          <c:extLst>
            <c:ext xmlns:c16="http://schemas.microsoft.com/office/drawing/2014/chart" uri="{C3380CC4-5D6E-409C-BE32-E72D297353CC}">
              <c16:uniqueId val="{00000000-0346-4298-8058-CE6D29D54E95}"/>
            </c:ext>
          </c:extLst>
        </c:ser>
        <c:dLbls>
          <c:showLegendKey val="0"/>
          <c:showVal val="0"/>
          <c:showCatName val="0"/>
          <c:showSerName val="0"/>
          <c:showPercent val="0"/>
          <c:showBubbleSize val="0"/>
        </c:dLbls>
        <c:marker val="1"/>
        <c:smooth val="0"/>
        <c:axId val="2109260880"/>
        <c:axId val="2109255600"/>
      </c:lineChart>
      <c:catAx>
        <c:axId val="2109260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55600"/>
        <c:crosses val="autoZero"/>
        <c:auto val="1"/>
        <c:lblAlgn val="ctr"/>
        <c:lblOffset val="100"/>
        <c:noMultiLvlLbl val="0"/>
      </c:catAx>
      <c:valAx>
        <c:axId val="21092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6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365494</xdr:colOff>
      <xdr:row>14</xdr:row>
      <xdr:rowOff>55379</xdr:rowOff>
    </xdr:from>
    <xdr:to>
      <xdr:col>12</xdr:col>
      <xdr:colOff>276888</xdr:colOff>
      <xdr:row>29</xdr:row>
      <xdr:rowOff>0</xdr:rowOff>
    </xdr:to>
    <xdr:graphicFrame macro="">
      <xdr:nvGraphicFramePr>
        <xdr:cNvPr id="2" name="Chart 1">
          <a:extLst>
            <a:ext uri="{FF2B5EF4-FFF2-40B4-BE49-F238E27FC236}">
              <a16:creationId xmlns:a16="http://schemas.microsoft.com/office/drawing/2014/main" id="{ADE8EF74-97F9-4F71-8A4F-1DCFA44E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310116</xdr:colOff>
      <xdr:row>14</xdr:row>
      <xdr:rowOff>55377</xdr:rowOff>
    </xdr:from>
    <xdr:to>
      <xdr:col>22</xdr:col>
      <xdr:colOff>110756</xdr:colOff>
      <xdr:row>29</xdr:row>
      <xdr:rowOff>24039</xdr:rowOff>
    </xdr:to>
    <xdr:graphicFrame macro="">
      <xdr:nvGraphicFramePr>
        <xdr:cNvPr id="3" name="Chart 2">
          <a:extLst>
            <a:ext uri="{FF2B5EF4-FFF2-40B4-BE49-F238E27FC236}">
              <a16:creationId xmlns:a16="http://schemas.microsoft.com/office/drawing/2014/main" id="{1F9ACDDE-C5D5-4031-8E8F-5637DD51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389003</xdr:colOff>
      <xdr:row>31</xdr:row>
      <xdr:rowOff>81525</xdr:rowOff>
    </xdr:from>
    <xdr:to>
      <xdr:col>12</xdr:col>
      <xdr:colOff>287966</xdr:colOff>
      <xdr:row>46</xdr:row>
      <xdr:rowOff>11075</xdr:rowOff>
    </xdr:to>
    <xdr:graphicFrame macro="">
      <xdr:nvGraphicFramePr>
        <xdr:cNvPr id="4" name="Chart 3">
          <a:extLst>
            <a:ext uri="{FF2B5EF4-FFF2-40B4-BE49-F238E27FC236}">
              <a16:creationId xmlns:a16="http://schemas.microsoft.com/office/drawing/2014/main" id="{993EE1FF-A3E0-4334-8DE4-1943989B8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343343</xdr:colOff>
      <xdr:row>31</xdr:row>
      <xdr:rowOff>95077</xdr:rowOff>
    </xdr:from>
    <xdr:to>
      <xdr:col>21</xdr:col>
      <xdr:colOff>587004</xdr:colOff>
      <xdr:row>45</xdr:row>
      <xdr:rowOff>188283</xdr:rowOff>
    </xdr:to>
    <xdr:graphicFrame macro="">
      <xdr:nvGraphicFramePr>
        <xdr:cNvPr id="5" name="Chart 4">
          <a:extLst>
            <a:ext uri="{FF2B5EF4-FFF2-40B4-BE49-F238E27FC236}">
              <a16:creationId xmlns:a16="http://schemas.microsoft.com/office/drawing/2014/main" id="{4555551D-5D87-48D5-916A-CBCD4B8D3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287148</xdr:colOff>
      <xdr:row>48</xdr:row>
      <xdr:rowOff>121611</xdr:rowOff>
    </xdr:from>
    <xdr:to>
      <xdr:col>12</xdr:col>
      <xdr:colOff>189083</xdr:colOff>
      <xdr:row>63</xdr:row>
      <xdr:rowOff>123083</xdr:rowOff>
    </xdr:to>
    <xdr:graphicFrame macro="">
      <xdr:nvGraphicFramePr>
        <xdr:cNvPr id="6" name="Chart 5">
          <a:extLst>
            <a:ext uri="{FF2B5EF4-FFF2-40B4-BE49-F238E27FC236}">
              <a16:creationId xmlns:a16="http://schemas.microsoft.com/office/drawing/2014/main" id="{2E1B0EC8-43CA-481F-A824-CCA14AC13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327112</xdr:colOff>
      <xdr:row>48</xdr:row>
      <xdr:rowOff>42694</xdr:rowOff>
    </xdr:from>
    <xdr:to>
      <xdr:col>22</xdr:col>
      <xdr:colOff>74929</xdr:colOff>
      <xdr:row>62</xdr:row>
      <xdr:rowOff>186523</xdr:rowOff>
    </xdr:to>
    <xdr:graphicFrame macro="">
      <xdr:nvGraphicFramePr>
        <xdr:cNvPr id="7" name="Chart 6">
          <a:extLst>
            <a:ext uri="{FF2B5EF4-FFF2-40B4-BE49-F238E27FC236}">
              <a16:creationId xmlns:a16="http://schemas.microsoft.com/office/drawing/2014/main" id="{A28EFD74-643B-4F13-8A0B-A9B321CF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14</xdr:row>
      <xdr:rowOff>46460</xdr:rowOff>
    </xdr:from>
    <xdr:to>
      <xdr:col>2</xdr:col>
      <xdr:colOff>572180</xdr:colOff>
      <xdr:row>29</xdr:row>
      <xdr:rowOff>101329</xdr:rowOff>
    </xdr:to>
    <mc:AlternateContent xmlns:mc="http://schemas.openxmlformats.org/markup-compatibility/2006" xmlns:a14="http://schemas.microsoft.com/office/drawing/2010/main">
      <mc:Choice Requires="a14">
        <xdr:graphicFrame macro="">
          <xdr:nvGraphicFramePr>
            <xdr:cNvPr id="8" name="CUSTOMER NAME 3">
              <a:extLst>
                <a:ext uri="{FF2B5EF4-FFF2-40B4-BE49-F238E27FC236}">
                  <a16:creationId xmlns:a16="http://schemas.microsoft.com/office/drawing/2014/main" id="{25941BEA-1764-4D2F-9C3E-394D5BD90E72}"/>
                </a:ext>
              </a:extLst>
            </xdr:cNvPr>
            <xdr:cNvGraphicFramePr/>
          </xdr:nvGraphicFramePr>
          <xdr:xfrm>
            <a:off x="0" y="0"/>
            <a:ext cx="0" cy="0"/>
          </xdr:xfrm>
          <a:graphic>
            <a:graphicData uri="http://schemas.microsoft.com/office/drawing/2010/slicer">
              <sle:slicer xmlns:sle="http://schemas.microsoft.com/office/drawing/2010/slicer" name="CUSTOMER NAME 3"/>
            </a:graphicData>
          </a:graphic>
        </xdr:graphicFrame>
      </mc:Choice>
      <mc:Fallback xmlns="">
        <xdr:sp macro="" textlink="">
          <xdr:nvSpPr>
            <xdr:cNvPr id="0" name=""/>
            <xdr:cNvSpPr>
              <a:spLocks noTextEdit="1"/>
            </xdr:cNvSpPr>
          </xdr:nvSpPr>
          <xdr:spPr>
            <a:xfrm>
              <a:off x="0" y="2774074"/>
              <a:ext cx="1784453" cy="2977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548463</xdr:colOff>
      <xdr:row>13</xdr:row>
      <xdr:rowOff>147481</xdr:rowOff>
    </xdr:from>
    <xdr:to>
      <xdr:col>25</xdr:col>
      <xdr:colOff>488199</xdr:colOff>
      <xdr:row>37</xdr:row>
      <xdr:rowOff>40532</xdr:rowOff>
    </xdr:to>
    <mc:AlternateContent xmlns:mc="http://schemas.openxmlformats.org/markup-compatibility/2006" xmlns:a14="http://schemas.microsoft.com/office/drawing/2010/main">
      <mc:Choice Requires="a14">
        <xdr:graphicFrame macro="">
          <xdr:nvGraphicFramePr>
            <xdr:cNvPr id="9" name="UNIT PRICE 3">
              <a:extLst>
                <a:ext uri="{FF2B5EF4-FFF2-40B4-BE49-F238E27FC236}">
                  <a16:creationId xmlns:a16="http://schemas.microsoft.com/office/drawing/2014/main" id="{D95AF50B-D41E-49A1-837F-EF3A922DF6D5}"/>
                </a:ext>
              </a:extLst>
            </xdr:cNvPr>
            <xdr:cNvGraphicFramePr/>
          </xdr:nvGraphicFramePr>
          <xdr:xfrm>
            <a:off x="0" y="0"/>
            <a:ext cx="0" cy="0"/>
          </xdr:xfrm>
          <a:graphic>
            <a:graphicData uri="http://schemas.microsoft.com/office/drawing/2010/slicer">
              <sle:slicer xmlns:sle="http://schemas.microsoft.com/office/drawing/2010/slicer" name="UNIT PRICE 3"/>
            </a:graphicData>
          </a:graphic>
        </xdr:graphicFrame>
      </mc:Choice>
      <mc:Fallback xmlns="">
        <xdr:sp macro="" textlink="">
          <xdr:nvSpPr>
            <xdr:cNvPr id="0" name=""/>
            <xdr:cNvSpPr>
              <a:spLocks noTextEdit="1"/>
            </xdr:cNvSpPr>
          </xdr:nvSpPr>
          <xdr:spPr>
            <a:xfrm>
              <a:off x="13883463" y="2680265"/>
              <a:ext cx="1758145" cy="4568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156690</xdr:rowOff>
    </xdr:from>
    <xdr:to>
      <xdr:col>2</xdr:col>
      <xdr:colOff>520214</xdr:colOff>
      <xdr:row>63</xdr:row>
      <xdr:rowOff>81064</xdr:rowOff>
    </xdr:to>
    <mc:AlternateContent xmlns:mc="http://schemas.openxmlformats.org/markup-compatibility/2006" xmlns:a14="http://schemas.microsoft.com/office/drawing/2010/main">
      <mc:Choice Requires="a14">
        <xdr:graphicFrame macro="">
          <xdr:nvGraphicFramePr>
            <xdr:cNvPr id="10" name="PRODUCT 3">
              <a:extLst>
                <a:ext uri="{FF2B5EF4-FFF2-40B4-BE49-F238E27FC236}">
                  <a16:creationId xmlns:a16="http://schemas.microsoft.com/office/drawing/2014/main" id="{8CB4F2F6-F8D1-4C74-A686-F224FEC79867}"/>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0" y="9313679"/>
              <a:ext cx="1732487" cy="304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585241</xdr:colOff>
      <xdr:row>45</xdr:row>
      <xdr:rowOff>20265</xdr:rowOff>
    </xdr:from>
    <xdr:to>
      <xdr:col>25</xdr:col>
      <xdr:colOff>555152</xdr:colOff>
      <xdr:row>63</xdr:row>
      <xdr:rowOff>121596</xdr:rowOff>
    </xdr:to>
    <mc:AlternateContent xmlns:mc="http://schemas.openxmlformats.org/markup-compatibility/2006" xmlns:a14="http://schemas.microsoft.com/office/drawing/2010/main">
      <mc:Choice Requires="a14">
        <xdr:graphicFrame macro="">
          <xdr:nvGraphicFramePr>
            <xdr:cNvPr id="11" name="AVERAGE 2">
              <a:extLst>
                <a:ext uri="{FF2B5EF4-FFF2-40B4-BE49-F238E27FC236}">
                  <a16:creationId xmlns:a16="http://schemas.microsoft.com/office/drawing/2014/main" id="{3EDF639F-59C6-423B-A8C5-3B86236335EA}"/>
                </a:ext>
              </a:extLst>
            </xdr:cNvPr>
            <xdr:cNvGraphicFramePr/>
          </xdr:nvGraphicFramePr>
          <xdr:xfrm>
            <a:off x="0" y="0"/>
            <a:ext cx="0" cy="0"/>
          </xdr:xfrm>
          <a:graphic>
            <a:graphicData uri="http://schemas.microsoft.com/office/drawing/2010/slicer">
              <sle:slicer xmlns:sle="http://schemas.microsoft.com/office/drawing/2010/slicer" name="AVERAGE 2"/>
            </a:graphicData>
          </a:graphic>
        </xdr:graphicFrame>
      </mc:Choice>
      <mc:Fallback xmlns="">
        <xdr:sp macro="" textlink="">
          <xdr:nvSpPr>
            <xdr:cNvPr id="0" name=""/>
            <xdr:cNvSpPr>
              <a:spLocks noTextEdit="1"/>
            </xdr:cNvSpPr>
          </xdr:nvSpPr>
          <xdr:spPr>
            <a:xfrm>
              <a:off x="13920241" y="8787595"/>
              <a:ext cx="1788320" cy="3608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142347</xdr:rowOff>
    </xdr:from>
    <xdr:to>
      <xdr:col>2</xdr:col>
      <xdr:colOff>544528</xdr:colOff>
      <xdr:row>46</xdr:row>
      <xdr:rowOff>101330</xdr:rowOff>
    </xdr:to>
    <mc:AlternateContent xmlns:mc="http://schemas.openxmlformats.org/markup-compatibility/2006" xmlns:a14="http://schemas.microsoft.com/office/drawing/2010/main">
      <mc:Choice Requires="a14">
        <xdr:graphicFrame macro="">
          <xdr:nvGraphicFramePr>
            <xdr:cNvPr id="13" name="QUANTITY 3">
              <a:extLst>
                <a:ext uri="{FF2B5EF4-FFF2-40B4-BE49-F238E27FC236}">
                  <a16:creationId xmlns:a16="http://schemas.microsoft.com/office/drawing/2014/main" id="{D3D0C861-2475-4478-AEA1-DA7F6B0A2DB4}"/>
                </a:ext>
              </a:extLst>
            </xdr:cNvPr>
            <xdr:cNvGraphicFramePr/>
          </xdr:nvGraphicFramePr>
          <xdr:xfrm>
            <a:off x="0" y="0"/>
            <a:ext cx="0" cy="0"/>
          </xdr:xfrm>
          <a:graphic>
            <a:graphicData uri="http://schemas.microsoft.com/office/drawing/2010/slicer">
              <sle:slicer xmlns:sle="http://schemas.microsoft.com/office/drawing/2010/slicer" name="QUANTITY 3"/>
            </a:graphicData>
          </a:graphic>
        </xdr:graphicFrame>
      </mc:Choice>
      <mc:Fallback xmlns="">
        <xdr:sp macro="" textlink="">
          <xdr:nvSpPr>
            <xdr:cNvPr id="0" name=""/>
            <xdr:cNvSpPr>
              <a:spLocks noTextEdit="1"/>
            </xdr:cNvSpPr>
          </xdr:nvSpPr>
          <xdr:spPr>
            <a:xfrm>
              <a:off x="0" y="5987233"/>
              <a:ext cx="1756801" cy="3076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571894</xdr:colOff>
      <xdr:row>38</xdr:row>
      <xdr:rowOff>134344</xdr:rowOff>
    </xdr:from>
    <xdr:to>
      <xdr:col>25</xdr:col>
      <xdr:colOff>516236</xdr:colOff>
      <xdr:row>44</xdr:row>
      <xdr:rowOff>1077</xdr:rowOff>
    </xdr:to>
    <mc:AlternateContent xmlns:mc="http://schemas.openxmlformats.org/markup-compatibility/2006" xmlns:a14="http://schemas.microsoft.com/office/drawing/2010/main">
      <mc:Choice Requires="a14">
        <xdr:graphicFrame macro="">
          <xdr:nvGraphicFramePr>
            <xdr:cNvPr id="14" name="PAYMENT METHOD 3">
              <a:extLst>
                <a:ext uri="{FF2B5EF4-FFF2-40B4-BE49-F238E27FC236}">
                  <a16:creationId xmlns:a16="http://schemas.microsoft.com/office/drawing/2014/main" id="{CBB25720-E1E6-4B87-AEBF-DA26A45702E5}"/>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13906894" y="7537867"/>
              <a:ext cx="1762751" cy="1035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267890</xdr:colOff>
      <xdr:row>7</xdr:row>
      <xdr:rowOff>59531</xdr:rowOff>
    </xdr:from>
    <xdr:to>
      <xdr:col>25</xdr:col>
      <xdr:colOff>461366</xdr:colOff>
      <xdr:row>12</xdr:row>
      <xdr:rowOff>1</xdr:rowOff>
    </xdr:to>
    <mc:AlternateContent xmlns:mc="http://schemas.openxmlformats.org/markup-compatibility/2006" xmlns:a14="http://schemas.microsoft.com/office/drawing/2010/main">
      <mc:Choice Requires="a14">
        <xdr:graphicFrame macro="">
          <xdr:nvGraphicFramePr>
            <xdr:cNvPr id="16" name="CUSTOMER TYPE 3">
              <a:extLst>
                <a:ext uri="{FF2B5EF4-FFF2-40B4-BE49-F238E27FC236}">
                  <a16:creationId xmlns:a16="http://schemas.microsoft.com/office/drawing/2014/main" id="{48BB764D-460B-491D-A42C-BFC66985B421}"/>
                </a:ext>
              </a:extLst>
            </xdr:cNvPr>
            <xdr:cNvGraphicFramePr/>
          </xdr:nvGraphicFramePr>
          <xdr:xfrm>
            <a:off x="0" y="0"/>
            <a:ext cx="0" cy="0"/>
          </xdr:xfrm>
          <a:graphic>
            <a:graphicData uri="http://schemas.microsoft.com/office/drawing/2010/slicer">
              <sle:slicer xmlns:sle="http://schemas.microsoft.com/office/drawing/2010/slicer" name="CUSTOMER TYPE 3"/>
            </a:graphicData>
          </a:graphic>
        </xdr:graphicFrame>
      </mc:Choice>
      <mc:Fallback xmlns="">
        <xdr:sp macro="" textlink="">
          <xdr:nvSpPr>
            <xdr:cNvPr id="0" name=""/>
            <xdr:cNvSpPr>
              <a:spLocks noTextEdit="1"/>
            </xdr:cNvSpPr>
          </xdr:nvSpPr>
          <xdr:spPr>
            <a:xfrm>
              <a:off x="12996754" y="1423338"/>
              <a:ext cx="2618021" cy="914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0</xdr:rowOff>
    </xdr:from>
    <xdr:to>
      <xdr:col>25</xdr:col>
      <xdr:colOff>483268</xdr:colOff>
      <xdr:row>6</xdr:row>
      <xdr:rowOff>55146</xdr:rowOff>
    </xdr:to>
    <xdr:sp macro="" textlink="">
      <xdr:nvSpPr>
        <xdr:cNvPr id="37" name="Rectangle: Rounded Corners 36">
          <a:extLst>
            <a:ext uri="{FF2B5EF4-FFF2-40B4-BE49-F238E27FC236}">
              <a16:creationId xmlns:a16="http://schemas.microsoft.com/office/drawing/2014/main" id="{A63DC384-6232-4FF3-92C6-5660EFB2FE04}"/>
            </a:ext>
          </a:extLst>
        </xdr:cNvPr>
        <xdr:cNvSpPr/>
      </xdr:nvSpPr>
      <xdr:spPr>
        <a:xfrm>
          <a:off x="0" y="187098"/>
          <a:ext cx="15791304" cy="990637"/>
        </a:xfrm>
        <a:prstGeom prst="roundRect">
          <a:avLst/>
        </a:prstGeom>
        <a:gradFill flip="none" rotWithShape="1">
          <a:gsLst>
            <a:gs pos="0">
              <a:srgbClr val="12839E"/>
            </a:gs>
            <a:gs pos="48000">
              <a:srgbClr val="3AE6E2"/>
            </a:gs>
            <a:gs pos="99000">
              <a:srgbClr val="08A4A8"/>
            </a:gs>
            <a:gs pos="100000">
              <a:srgbClr val="FFFF00"/>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latin typeface="Agency FB" panose="020B0503020202020204" pitchFamily="34" charset="0"/>
              <a:cs typeface="Times New Roman" panose="02020603050405020304" pitchFamily="18" charset="0"/>
            </a:rPr>
            <a:t>SALES TRACKER DASHBOARD</a:t>
          </a:r>
        </a:p>
      </xdr:txBody>
    </xdr:sp>
    <xdr:clientData/>
  </xdr:twoCellAnchor>
  <xdr:twoCellAnchor>
    <xdr:from>
      <xdr:col>0</xdr:col>
      <xdr:colOff>0</xdr:colOff>
      <xdr:row>7</xdr:row>
      <xdr:rowOff>70760</xdr:rowOff>
    </xdr:from>
    <xdr:to>
      <xdr:col>4</xdr:col>
      <xdr:colOff>600656</xdr:colOff>
      <xdr:row>12</xdr:row>
      <xdr:rowOff>8983</xdr:rowOff>
    </xdr:to>
    <xdr:sp macro="" textlink="">
      <xdr:nvSpPr>
        <xdr:cNvPr id="38" name="Rectangle: Rounded Corners 37">
          <a:extLst>
            <a:ext uri="{FF2B5EF4-FFF2-40B4-BE49-F238E27FC236}">
              <a16:creationId xmlns:a16="http://schemas.microsoft.com/office/drawing/2014/main" id="{C2539B1A-468B-4519-B5E5-D8BC2904C6D7}"/>
            </a:ext>
          </a:extLst>
        </xdr:cNvPr>
        <xdr:cNvSpPr/>
      </xdr:nvSpPr>
      <xdr:spPr>
        <a:xfrm>
          <a:off x="0" y="1380448"/>
          <a:ext cx="3049942" cy="873714"/>
        </a:xfrm>
        <a:prstGeom prst="roundRect">
          <a:avLst/>
        </a:prstGeom>
        <a:gradFill flip="none" rotWithShape="1">
          <a:gsLst>
            <a:gs pos="0">
              <a:srgbClr val="12839E"/>
            </a:gs>
            <a:gs pos="84000">
              <a:srgbClr val="3AE6E2"/>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30438</xdr:colOff>
      <xdr:row>7</xdr:row>
      <xdr:rowOff>101592</xdr:rowOff>
    </xdr:from>
    <xdr:to>
      <xdr:col>1</xdr:col>
      <xdr:colOff>224453</xdr:colOff>
      <xdr:row>11</xdr:row>
      <xdr:rowOff>152814</xdr:rowOff>
    </xdr:to>
    <xdr:sp macro="" textlink="">
      <xdr:nvSpPr>
        <xdr:cNvPr id="39" name="Rectangle: Rounded Corners 38">
          <a:extLst>
            <a:ext uri="{FF2B5EF4-FFF2-40B4-BE49-F238E27FC236}">
              <a16:creationId xmlns:a16="http://schemas.microsoft.com/office/drawing/2014/main" id="{1FC9260F-6221-4451-ADFF-9B0A07A0F9BF}"/>
            </a:ext>
          </a:extLst>
        </xdr:cNvPr>
        <xdr:cNvSpPr/>
      </xdr:nvSpPr>
      <xdr:spPr>
        <a:xfrm>
          <a:off x="30438" y="1411280"/>
          <a:ext cx="806336" cy="799614"/>
        </a:xfrm>
        <a:prstGeom prst="roundRect">
          <a:avLst/>
        </a:prstGeom>
        <a:gradFill>
          <a:gsLst>
            <a:gs pos="0">
              <a:srgbClr val="7030A0"/>
            </a:gs>
            <a:gs pos="84000">
              <a:srgbClr val="08A4A8"/>
            </a:gs>
          </a:gsLst>
          <a:lin ang="18900000" scaled="1"/>
        </a:gra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latin typeface="Arial Black" panose="020B0A04020102020204" pitchFamily="34" charset="0"/>
          </a:endParaRPr>
        </a:p>
      </xdr:txBody>
    </xdr:sp>
    <xdr:clientData/>
  </xdr:twoCellAnchor>
  <xdr:twoCellAnchor>
    <xdr:from>
      <xdr:col>5</xdr:col>
      <xdr:colOff>260478</xdr:colOff>
      <xdr:row>7</xdr:row>
      <xdr:rowOff>60414</xdr:rowOff>
    </xdr:from>
    <xdr:to>
      <xdr:col>10</xdr:col>
      <xdr:colOff>127862</xdr:colOff>
      <xdr:row>11</xdr:row>
      <xdr:rowOff>185736</xdr:rowOff>
    </xdr:to>
    <xdr:sp macro="" textlink="">
      <xdr:nvSpPr>
        <xdr:cNvPr id="40" name="Rectangle: Rounded Corners 39">
          <a:extLst>
            <a:ext uri="{FF2B5EF4-FFF2-40B4-BE49-F238E27FC236}">
              <a16:creationId xmlns:a16="http://schemas.microsoft.com/office/drawing/2014/main" id="{AF216EFC-44AC-482F-8803-0057D2CA9FEA}"/>
            </a:ext>
          </a:extLst>
        </xdr:cNvPr>
        <xdr:cNvSpPr/>
      </xdr:nvSpPr>
      <xdr:spPr>
        <a:xfrm>
          <a:off x="3322085" y="1370102"/>
          <a:ext cx="2928991" cy="873714"/>
        </a:xfrm>
        <a:prstGeom prst="roundRect">
          <a:avLst/>
        </a:prstGeom>
        <a:gradFill flip="none" rotWithShape="1">
          <a:gsLst>
            <a:gs pos="0">
              <a:srgbClr val="12839E"/>
            </a:gs>
            <a:gs pos="84000">
              <a:srgbClr val="3AE6E2"/>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290917</xdr:colOff>
      <xdr:row>7</xdr:row>
      <xdr:rowOff>82891</xdr:rowOff>
    </xdr:from>
    <xdr:to>
      <xdr:col>6</xdr:col>
      <xdr:colOff>484931</xdr:colOff>
      <xdr:row>11</xdr:row>
      <xdr:rowOff>138489</xdr:rowOff>
    </xdr:to>
    <xdr:sp macro="" textlink="">
      <xdr:nvSpPr>
        <xdr:cNvPr id="41" name="Rectangle: Rounded Corners 40">
          <a:extLst>
            <a:ext uri="{FF2B5EF4-FFF2-40B4-BE49-F238E27FC236}">
              <a16:creationId xmlns:a16="http://schemas.microsoft.com/office/drawing/2014/main" id="{ACB64260-FA86-40ED-8B7D-07C8BD8B1CE9}"/>
            </a:ext>
          </a:extLst>
        </xdr:cNvPr>
        <xdr:cNvSpPr/>
      </xdr:nvSpPr>
      <xdr:spPr>
        <a:xfrm>
          <a:off x="3352524" y="1392579"/>
          <a:ext cx="806336" cy="803990"/>
        </a:xfrm>
        <a:prstGeom prst="roundRect">
          <a:avLst/>
        </a:prstGeom>
        <a:gradFill>
          <a:gsLst>
            <a:gs pos="0">
              <a:srgbClr val="7030A0"/>
            </a:gs>
            <a:gs pos="84000">
              <a:srgbClr val="08A4A8"/>
            </a:gs>
          </a:gsLst>
          <a:lin ang="18900000" scaled="1"/>
        </a:gra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435913</xdr:colOff>
      <xdr:row>7</xdr:row>
      <xdr:rowOff>45295</xdr:rowOff>
    </xdr:from>
    <xdr:to>
      <xdr:col>15</xdr:col>
      <xdr:colOff>363773</xdr:colOff>
      <xdr:row>11</xdr:row>
      <xdr:rowOff>170617</xdr:rowOff>
    </xdr:to>
    <xdr:sp macro="" textlink="">
      <xdr:nvSpPr>
        <xdr:cNvPr id="42" name="Rectangle: Rounded Corners 41">
          <a:extLst>
            <a:ext uri="{FF2B5EF4-FFF2-40B4-BE49-F238E27FC236}">
              <a16:creationId xmlns:a16="http://schemas.microsoft.com/office/drawing/2014/main" id="{D281C176-3B9F-4239-A788-B1F8B5ECD5B6}"/>
            </a:ext>
          </a:extLst>
        </xdr:cNvPr>
        <xdr:cNvSpPr/>
      </xdr:nvSpPr>
      <xdr:spPr>
        <a:xfrm>
          <a:off x="6559127" y="1354983"/>
          <a:ext cx="2989467" cy="873714"/>
        </a:xfrm>
        <a:prstGeom prst="roundRect">
          <a:avLst/>
        </a:prstGeom>
        <a:gradFill flip="none" rotWithShape="1">
          <a:gsLst>
            <a:gs pos="0">
              <a:srgbClr val="12839E"/>
            </a:gs>
            <a:gs pos="84000">
              <a:srgbClr val="3AE6E2"/>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466352</xdr:colOff>
      <xdr:row>7</xdr:row>
      <xdr:rowOff>67772</xdr:rowOff>
    </xdr:from>
    <xdr:to>
      <xdr:col>12</xdr:col>
      <xdr:colOff>47601</xdr:colOff>
      <xdr:row>11</xdr:row>
      <xdr:rowOff>123370</xdr:rowOff>
    </xdr:to>
    <xdr:sp macro="" textlink="">
      <xdr:nvSpPr>
        <xdr:cNvPr id="43" name="Rectangle: Rounded Corners 42">
          <a:extLst>
            <a:ext uri="{FF2B5EF4-FFF2-40B4-BE49-F238E27FC236}">
              <a16:creationId xmlns:a16="http://schemas.microsoft.com/office/drawing/2014/main" id="{E15259FF-10FE-48C0-BF3F-86B3C563B180}"/>
            </a:ext>
          </a:extLst>
        </xdr:cNvPr>
        <xdr:cNvSpPr/>
      </xdr:nvSpPr>
      <xdr:spPr>
        <a:xfrm>
          <a:off x="6589566" y="1377460"/>
          <a:ext cx="805892" cy="803990"/>
        </a:xfrm>
        <a:prstGeom prst="roundRect">
          <a:avLst/>
        </a:prstGeom>
        <a:gradFill>
          <a:gsLst>
            <a:gs pos="0">
              <a:srgbClr val="7030A0"/>
            </a:gs>
            <a:gs pos="84000">
              <a:srgbClr val="08A4A8"/>
            </a:gs>
          </a:gsLst>
          <a:lin ang="18900000" scaled="1"/>
        </a:gra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68507</xdr:colOff>
      <xdr:row>7</xdr:row>
      <xdr:rowOff>30176</xdr:rowOff>
    </xdr:from>
    <xdr:to>
      <xdr:col>20</xdr:col>
      <xdr:colOff>488179</xdr:colOff>
      <xdr:row>11</xdr:row>
      <xdr:rowOff>153608</xdr:rowOff>
    </xdr:to>
    <xdr:sp macro="" textlink="">
      <xdr:nvSpPr>
        <xdr:cNvPr id="44" name="Rectangle: Rounded Corners 43">
          <a:extLst>
            <a:ext uri="{FF2B5EF4-FFF2-40B4-BE49-F238E27FC236}">
              <a16:creationId xmlns:a16="http://schemas.microsoft.com/office/drawing/2014/main" id="{4BED4CED-710E-40AA-B00B-91C91BDFAC4C}"/>
            </a:ext>
          </a:extLst>
        </xdr:cNvPr>
        <xdr:cNvSpPr/>
      </xdr:nvSpPr>
      <xdr:spPr>
        <a:xfrm>
          <a:off x="9865650" y="1339864"/>
          <a:ext cx="2868958" cy="871824"/>
        </a:xfrm>
        <a:prstGeom prst="roundRect">
          <a:avLst/>
        </a:prstGeom>
        <a:gradFill flip="none" rotWithShape="1">
          <a:gsLst>
            <a:gs pos="0">
              <a:srgbClr val="12839E"/>
            </a:gs>
            <a:gs pos="84000">
              <a:srgbClr val="3AE6E2"/>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98946</xdr:colOff>
      <xdr:row>7</xdr:row>
      <xdr:rowOff>52653</xdr:rowOff>
    </xdr:from>
    <xdr:to>
      <xdr:col>17</xdr:col>
      <xdr:colOff>342461</xdr:colOff>
      <xdr:row>11</xdr:row>
      <xdr:rowOff>108251</xdr:rowOff>
    </xdr:to>
    <xdr:sp macro="" textlink="">
      <xdr:nvSpPr>
        <xdr:cNvPr id="45" name="Rectangle: Rounded Corners 44">
          <a:extLst>
            <a:ext uri="{FF2B5EF4-FFF2-40B4-BE49-F238E27FC236}">
              <a16:creationId xmlns:a16="http://schemas.microsoft.com/office/drawing/2014/main" id="{43CBE622-5F48-4678-98B2-7F7BA3829D84}"/>
            </a:ext>
          </a:extLst>
        </xdr:cNvPr>
        <xdr:cNvSpPr/>
      </xdr:nvSpPr>
      <xdr:spPr>
        <a:xfrm>
          <a:off x="9896089" y="1362341"/>
          <a:ext cx="855836" cy="803990"/>
        </a:xfrm>
        <a:prstGeom prst="roundRect">
          <a:avLst/>
        </a:prstGeom>
        <a:gradFill>
          <a:gsLst>
            <a:gs pos="0">
              <a:srgbClr val="7030A0"/>
            </a:gs>
            <a:gs pos="84000">
              <a:srgbClr val="08A4A8"/>
            </a:gs>
          </a:gsLst>
          <a:lin ang="18900000" scaled="1"/>
        </a:gra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495731</xdr:colOff>
      <xdr:row>7</xdr:row>
      <xdr:rowOff>167541</xdr:rowOff>
    </xdr:from>
    <xdr:to>
      <xdr:col>4</xdr:col>
      <xdr:colOff>334755</xdr:colOff>
      <xdr:row>9</xdr:row>
      <xdr:rowOff>129392</xdr:rowOff>
    </xdr:to>
    <xdr:sp macro="" textlink="">
      <xdr:nvSpPr>
        <xdr:cNvPr id="46" name="TextBox 45">
          <a:extLst>
            <a:ext uri="{FF2B5EF4-FFF2-40B4-BE49-F238E27FC236}">
              <a16:creationId xmlns:a16="http://schemas.microsoft.com/office/drawing/2014/main" id="{E0452D33-C46E-4A00-8B0E-D9D7B2E41B44}"/>
            </a:ext>
          </a:extLst>
        </xdr:cNvPr>
        <xdr:cNvSpPr txBox="1"/>
      </xdr:nvSpPr>
      <xdr:spPr>
        <a:xfrm>
          <a:off x="1108052" y="1477229"/>
          <a:ext cx="1675989" cy="3360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rPr>
            <a:t>Total Sales</a:t>
          </a:r>
        </a:p>
      </xdr:txBody>
    </xdr:sp>
    <xdr:clientData/>
  </xdr:twoCellAnchor>
  <xdr:twoCellAnchor>
    <xdr:from>
      <xdr:col>1</xdr:col>
      <xdr:colOff>500471</xdr:colOff>
      <xdr:row>10</xdr:row>
      <xdr:rowOff>10703</xdr:rowOff>
    </xdr:from>
    <xdr:to>
      <xdr:col>4</xdr:col>
      <xdr:colOff>320383</xdr:colOff>
      <xdr:row>11</xdr:row>
      <xdr:rowOff>79337</xdr:rowOff>
    </xdr:to>
    <xdr:sp macro="" textlink="">
      <xdr:nvSpPr>
        <xdr:cNvPr id="47" name="TextBox 46">
          <a:extLst>
            <a:ext uri="{FF2B5EF4-FFF2-40B4-BE49-F238E27FC236}">
              <a16:creationId xmlns:a16="http://schemas.microsoft.com/office/drawing/2014/main" id="{6D2C199D-64E3-44F5-B793-0B5B98FE13D5}"/>
            </a:ext>
          </a:extLst>
        </xdr:cNvPr>
        <xdr:cNvSpPr txBox="1"/>
      </xdr:nvSpPr>
      <xdr:spPr>
        <a:xfrm>
          <a:off x="1112792" y="1881685"/>
          <a:ext cx="1656877" cy="25573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u="none">
              <a:solidFill>
                <a:schemeClr val="bg1"/>
              </a:solidFill>
              <a:latin typeface="Arial Black" panose="020B0A04020102020204" pitchFamily="34" charset="0"/>
            </a:rPr>
            <a:t>Rs. 4,64,720</a:t>
          </a:r>
        </a:p>
      </xdr:txBody>
    </xdr:sp>
    <xdr:clientData/>
  </xdr:twoCellAnchor>
  <xdr:twoCellAnchor>
    <xdr:from>
      <xdr:col>7</xdr:col>
      <xdr:colOff>96912</xdr:colOff>
      <xdr:row>7</xdr:row>
      <xdr:rowOff>153169</xdr:rowOff>
    </xdr:from>
    <xdr:to>
      <xdr:col>9</xdr:col>
      <xdr:colOff>543020</xdr:colOff>
      <xdr:row>9</xdr:row>
      <xdr:rowOff>106331</xdr:rowOff>
    </xdr:to>
    <xdr:sp macro="" textlink="">
      <xdr:nvSpPr>
        <xdr:cNvPr id="48" name="TextBox 47">
          <a:extLst>
            <a:ext uri="{FF2B5EF4-FFF2-40B4-BE49-F238E27FC236}">
              <a16:creationId xmlns:a16="http://schemas.microsoft.com/office/drawing/2014/main" id="{26358A3E-4788-4C09-81A9-1B48CB280447}"/>
            </a:ext>
          </a:extLst>
        </xdr:cNvPr>
        <xdr:cNvSpPr txBox="1"/>
      </xdr:nvSpPr>
      <xdr:spPr>
        <a:xfrm>
          <a:off x="4383162" y="1462857"/>
          <a:ext cx="1670751" cy="3273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Arial Black" panose="020B0A04020102020204" pitchFamily="34" charset="0"/>
            </a:rPr>
            <a:t>Average</a:t>
          </a:r>
          <a:r>
            <a:rPr lang="en-IN" sz="1400" b="1" baseline="0">
              <a:solidFill>
                <a:schemeClr val="bg1"/>
              </a:solidFill>
              <a:latin typeface="Arial Black" panose="020B0A04020102020204" pitchFamily="34" charset="0"/>
            </a:rPr>
            <a:t> sales</a:t>
          </a:r>
          <a:endParaRPr lang="en-IN" sz="1400" b="1">
            <a:solidFill>
              <a:schemeClr val="bg1"/>
            </a:solidFill>
            <a:latin typeface="Arial Black" panose="020B0A04020102020204" pitchFamily="34" charset="0"/>
          </a:endParaRPr>
        </a:p>
      </xdr:txBody>
    </xdr:sp>
    <xdr:clientData/>
  </xdr:twoCellAnchor>
  <xdr:twoCellAnchor>
    <xdr:from>
      <xdr:col>7</xdr:col>
      <xdr:colOff>104056</xdr:colOff>
      <xdr:row>10</xdr:row>
      <xdr:rowOff>11704</xdr:rowOff>
    </xdr:from>
    <xdr:to>
      <xdr:col>9</xdr:col>
      <xdr:colOff>552545</xdr:colOff>
      <xdr:row>11</xdr:row>
      <xdr:rowOff>94814</xdr:rowOff>
    </xdr:to>
    <xdr:sp macro="" textlink="">
      <xdr:nvSpPr>
        <xdr:cNvPr id="49" name="TextBox 48">
          <a:extLst>
            <a:ext uri="{FF2B5EF4-FFF2-40B4-BE49-F238E27FC236}">
              <a16:creationId xmlns:a16="http://schemas.microsoft.com/office/drawing/2014/main" id="{5B14485A-7F21-441C-8243-E9C0751641B1}"/>
            </a:ext>
          </a:extLst>
        </xdr:cNvPr>
        <xdr:cNvSpPr txBox="1"/>
      </xdr:nvSpPr>
      <xdr:spPr>
        <a:xfrm>
          <a:off x="4390306" y="1882686"/>
          <a:ext cx="1673132" cy="2702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Arial Black" panose="020B0A04020102020204" pitchFamily="34" charset="0"/>
            </a:rPr>
            <a:t>Rs.</a:t>
          </a:r>
          <a:r>
            <a:rPr lang="en-IN" sz="1100" baseline="0">
              <a:solidFill>
                <a:schemeClr val="bg1"/>
              </a:solidFill>
              <a:latin typeface="Arial Black" panose="020B0A04020102020204" pitchFamily="34" charset="0"/>
            </a:rPr>
            <a:t> 560093</a:t>
          </a:r>
          <a:endParaRPr lang="en-IN" sz="1100">
            <a:solidFill>
              <a:schemeClr val="bg1"/>
            </a:solidFill>
            <a:latin typeface="Arial Black" panose="020B0A04020102020204" pitchFamily="34" charset="0"/>
          </a:endParaRPr>
        </a:p>
      </xdr:txBody>
    </xdr:sp>
    <xdr:clientData/>
  </xdr:twoCellAnchor>
  <xdr:twoCellAnchor>
    <xdr:from>
      <xdr:col>12</xdr:col>
      <xdr:colOff>302546</xdr:colOff>
      <xdr:row>7</xdr:row>
      <xdr:rowOff>134119</xdr:rowOff>
    </xdr:from>
    <xdr:to>
      <xdr:col>15</xdr:col>
      <xdr:colOff>119222</xdr:colOff>
      <xdr:row>9</xdr:row>
      <xdr:rowOff>108712</xdr:rowOff>
    </xdr:to>
    <xdr:sp macro="" textlink="">
      <xdr:nvSpPr>
        <xdr:cNvPr id="50" name="TextBox 49">
          <a:extLst>
            <a:ext uri="{FF2B5EF4-FFF2-40B4-BE49-F238E27FC236}">
              <a16:creationId xmlns:a16="http://schemas.microsoft.com/office/drawing/2014/main" id="{5AC85D62-2088-41EC-8719-22EE39E2A339}"/>
            </a:ext>
          </a:extLst>
        </xdr:cNvPr>
        <xdr:cNvSpPr txBox="1"/>
      </xdr:nvSpPr>
      <xdr:spPr>
        <a:xfrm>
          <a:off x="7650403" y="1443807"/>
          <a:ext cx="1653640" cy="3487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rPr>
            <a:t>Quantity Sold</a:t>
          </a:r>
        </a:p>
      </xdr:txBody>
    </xdr:sp>
    <xdr:clientData/>
  </xdr:twoCellAnchor>
  <xdr:twoCellAnchor>
    <xdr:from>
      <xdr:col>12</xdr:col>
      <xdr:colOff>290639</xdr:colOff>
      <xdr:row>10</xdr:row>
      <xdr:rowOff>990</xdr:rowOff>
    </xdr:from>
    <xdr:to>
      <xdr:col>15</xdr:col>
      <xdr:colOff>143035</xdr:colOff>
      <xdr:row>11</xdr:row>
      <xdr:rowOff>85290</xdr:rowOff>
    </xdr:to>
    <xdr:sp macro="" textlink="">
      <xdr:nvSpPr>
        <xdr:cNvPr id="51" name="TextBox 50">
          <a:extLst>
            <a:ext uri="{FF2B5EF4-FFF2-40B4-BE49-F238E27FC236}">
              <a16:creationId xmlns:a16="http://schemas.microsoft.com/office/drawing/2014/main" id="{C607BE28-EE53-4332-A4C1-B942EECF0CB2}"/>
            </a:ext>
          </a:extLst>
        </xdr:cNvPr>
        <xdr:cNvSpPr txBox="1"/>
      </xdr:nvSpPr>
      <xdr:spPr>
        <a:xfrm>
          <a:off x="7638496" y="1871972"/>
          <a:ext cx="1689360" cy="2713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Arial Black" panose="020B0A04020102020204" pitchFamily="34" charset="0"/>
            </a:rPr>
            <a:t>Rs.</a:t>
          </a:r>
          <a:r>
            <a:rPr lang="en-IN" sz="1100" baseline="0">
              <a:solidFill>
                <a:schemeClr val="bg1"/>
              </a:solidFill>
              <a:latin typeface="Arial Black" panose="020B0A04020102020204" pitchFamily="34" charset="0"/>
            </a:rPr>
            <a:t> 10,733</a:t>
          </a:r>
          <a:endParaRPr lang="en-IN" sz="1100">
            <a:solidFill>
              <a:schemeClr val="bg1"/>
            </a:solidFill>
            <a:latin typeface="Arial Black" panose="020B0A04020102020204" pitchFamily="34" charset="0"/>
          </a:endParaRPr>
        </a:p>
      </xdr:txBody>
    </xdr:sp>
    <xdr:clientData/>
  </xdr:twoCellAnchor>
  <xdr:twoCellAnchor>
    <xdr:from>
      <xdr:col>17</xdr:col>
      <xdr:colOff>489129</xdr:colOff>
      <xdr:row>7</xdr:row>
      <xdr:rowOff>146025</xdr:rowOff>
    </xdr:from>
    <xdr:to>
      <xdr:col>20</xdr:col>
      <xdr:colOff>335571</xdr:colOff>
      <xdr:row>9</xdr:row>
      <xdr:rowOff>102759</xdr:rowOff>
    </xdr:to>
    <xdr:sp macro="" textlink="">
      <xdr:nvSpPr>
        <xdr:cNvPr id="52" name="TextBox 51">
          <a:extLst>
            <a:ext uri="{FF2B5EF4-FFF2-40B4-BE49-F238E27FC236}">
              <a16:creationId xmlns:a16="http://schemas.microsoft.com/office/drawing/2014/main" id="{C4CF8115-6FCB-4872-878C-34FC5B42757C}"/>
            </a:ext>
          </a:extLst>
        </xdr:cNvPr>
        <xdr:cNvSpPr txBox="1"/>
      </xdr:nvSpPr>
      <xdr:spPr>
        <a:xfrm>
          <a:off x="10898593" y="1455713"/>
          <a:ext cx="1683407" cy="33093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rPr>
            <a:t>Unit</a:t>
          </a:r>
          <a:r>
            <a:rPr lang="en-IN" sz="1400" baseline="0">
              <a:solidFill>
                <a:schemeClr val="bg1"/>
              </a:solidFill>
              <a:latin typeface="Arial Black" panose="020B0A04020102020204" pitchFamily="34" charset="0"/>
            </a:rPr>
            <a:t> sales</a:t>
          </a:r>
          <a:endParaRPr lang="en-IN" sz="1400">
            <a:solidFill>
              <a:schemeClr val="bg1"/>
            </a:solidFill>
            <a:latin typeface="Arial Black" panose="020B0A04020102020204" pitchFamily="34" charset="0"/>
          </a:endParaRPr>
        </a:p>
      </xdr:txBody>
    </xdr:sp>
    <xdr:clientData/>
  </xdr:twoCellAnchor>
  <xdr:twoCellAnchor>
    <xdr:from>
      <xdr:col>17</xdr:col>
      <xdr:colOff>495083</xdr:colOff>
      <xdr:row>9</xdr:row>
      <xdr:rowOff>182134</xdr:rowOff>
    </xdr:from>
    <xdr:to>
      <xdr:col>20</xdr:col>
      <xdr:colOff>329617</xdr:colOff>
      <xdr:row>11</xdr:row>
      <xdr:rowOff>67430</xdr:rowOff>
    </xdr:to>
    <xdr:sp macro="" textlink="">
      <xdr:nvSpPr>
        <xdr:cNvPr id="53" name="TextBox 52">
          <a:extLst>
            <a:ext uri="{FF2B5EF4-FFF2-40B4-BE49-F238E27FC236}">
              <a16:creationId xmlns:a16="http://schemas.microsoft.com/office/drawing/2014/main" id="{B39C50BE-8DC0-406E-AF27-85D5B285DEA3}"/>
            </a:ext>
          </a:extLst>
        </xdr:cNvPr>
        <xdr:cNvSpPr txBox="1"/>
      </xdr:nvSpPr>
      <xdr:spPr>
        <a:xfrm>
          <a:off x="10904547" y="1866018"/>
          <a:ext cx="1671499" cy="2594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Black" panose="020B0A04020102020204" pitchFamily="34" charset="0"/>
            </a:rPr>
            <a:t>Rs. 1,015</a:t>
          </a:r>
        </a:p>
      </xdr:txBody>
    </xdr:sp>
    <xdr:clientData/>
  </xdr:twoCellAnchor>
  <xdr:twoCellAnchor editAs="oneCell">
    <xdr:from>
      <xdr:col>0</xdr:col>
      <xdr:colOff>93908</xdr:colOff>
      <xdr:row>7</xdr:row>
      <xdr:rowOff>141274</xdr:rowOff>
    </xdr:from>
    <xdr:to>
      <xdr:col>1</xdr:col>
      <xdr:colOff>178603</xdr:colOff>
      <xdr:row>11</xdr:row>
      <xdr:rowOff>77379</xdr:rowOff>
    </xdr:to>
    <xdr:pic>
      <xdr:nvPicPr>
        <xdr:cNvPr id="54" name="Graphic 53" descr="Money with solid fill">
          <a:extLst>
            <a:ext uri="{FF2B5EF4-FFF2-40B4-BE49-F238E27FC236}">
              <a16:creationId xmlns:a16="http://schemas.microsoft.com/office/drawing/2014/main" id="{C13B4DCC-3664-47C8-9A22-6355214B4AD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3908" y="1450962"/>
          <a:ext cx="697016" cy="684497"/>
        </a:xfrm>
        <a:prstGeom prst="rect">
          <a:avLst/>
        </a:prstGeom>
      </xdr:spPr>
    </xdr:pic>
    <xdr:clientData/>
  </xdr:twoCellAnchor>
  <xdr:twoCellAnchor editAs="oneCell">
    <xdr:from>
      <xdr:col>5</xdr:col>
      <xdr:colOff>359830</xdr:colOff>
      <xdr:row>7</xdr:row>
      <xdr:rowOff>168109</xdr:rowOff>
    </xdr:from>
    <xdr:to>
      <xdr:col>6</xdr:col>
      <xdr:colOff>403981</xdr:colOff>
      <xdr:row>11</xdr:row>
      <xdr:rowOff>69289</xdr:rowOff>
    </xdr:to>
    <xdr:pic>
      <xdr:nvPicPr>
        <xdr:cNvPr id="55" name="Graphic 54" descr="Bar chart with solid fill">
          <a:extLst>
            <a:ext uri="{FF2B5EF4-FFF2-40B4-BE49-F238E27FC236}">
              <a16:creationId xmlns:a16="http://schemas.microsoft.com/office/drawing/2014/main" id="{46EC1948-94C3-4750-AE43-89198E1A992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421437" y="1477797"/>
          <a:ext cx="656473" cy="649572"/>
        </a:xfrm>
        <a:prstGeom prst="rect">
          <a:avLst/>
        </a:prstGeom>
      </xdr:spPr>
    </xdr:pic>
    <xdr:clientData/>
  </xdr:twoCellAnchor>
  <xdr:twoCellAnchor editAs="oneCell">
    <xdr:from>
      <xdr:col>10</xdr:col>
      <xdr:colOff>545222</xdr:colOff>
      <xdr:row>7</xdr:row>
      <xdr:rowOff>101028</xdr:rowOff>
    </xdr:from>
    <xdr:to>
      <xdr:col>11</xdr:col>
      <xdr:colOff>594834</xdr:colOff>
      <xdr:row>11</xdr:row>
      <xdr:rowOff>3307</xdr:rowOff>
    </xdr:to>
    <xdr:pic>
      <xdr:nvPicPr>
        <xdr:cNvPr id="56" name="Graphic 55" descr="Bank with solid fill">
          <a:extLst>
            <a:ext uri="{FF2B5EF4-FFF2-40B4-BE49-F238E27FC236}">
              <a16:creationId xmlns:a16="http://schemas.microsoft.com/office/drawing/2014/main" id="{A77E4A7D-3C8B-42E2-9D74-61DE4C46A74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668436" y="1410716"/>
          <a:ext cx="661934" cy="650671"/>
        </a:xfrm>
        <a:prstGeom prst="rect">
          <a:avLst/>
        </a:prstGeom>
      </xdr:spPr>
    </xdr:pic>
    <xdr:clientData/>
  </xdr:twoCellAnchor>
  <xdr:twoCellAnchor editAs="oneCell">
    <xdr:from>
      <xdr:col>16</xdr:col>
      <xdr:colOff>217679</xdr:colOff>
      <xdr:row>7</xdr:row>
      <xdr:rowOff>114443</xdr:rowOff>
    </xdr:from>
    <xdr:to>
      <xdr:col>17</xdr:col>
      <xdr:colOff>242781</xdr:colOff>
      <xdr:row>11</xdr:row>
      <xdr:rowOff>246</xdr:rowOff>
    </xdr:to>
    <xdr:pic>
      <xdr:nvPicPr>
        <xdr:cNvPr id="57" name="Graphic 56" descr="Dollar with solid fill">
          <a:extLst>
            <a:ext uri="{FF2B5EF4-FFF2-40B4-BE49-F238E27FC236}">
              <a16:creationId xmlns:a16="http://schemas.microsoft.com/office/drawing/2014/main" id="{93A2D759-82B6-4412-A4E0-8F35CE6343E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014822" y="1424131"/>
          <a:ext cx="637423" cy="634195"/>
        </a:xfrm>
        <a:prstGeom prst="rect">
          <a:avLst/>
        </a:prstGeom>
      </xdr:spPr>
    </xdr:pic>
    <xdr:clientData/>
  </xdr:twoCellAnchor>
  <xdr:twoCellAnchor>
    <xdr:from>
      <xdr:col>3</xdr:col>
      <xdr:colOff>209085</xdr:colOff>
      <xdr:row>14</xdr:row>
      <xdr:rowOff>0</xdr:rowOff>
    </xdr:from>
    <xdr:to>
      <xdr:col>12</xdr:col>
      <xdr:colOff>379403</xdr:colOff>
      <xdr:row>29</xdr:row>
      <xdr:rowOff>86192</xdr:rowOff>
    </xdr:to>
    <xdr:sp macro="" textlink="">
      <xdr:nvSpPr>
        <xdr:cNvPr id="58" name="Rectangle: Rounded Corners 57">
          <a:extLst>
            <a:ext uri="{FF2B5EF4-FFF2-40B4-BE49-F238E27FC236}">
              <a16:creationId xmlns:a16="http://schemas.microsoft.com/office/drawing/2014/main" id="{ED59EE3A-60C4-4868-A6E6-CA7EFD5E852D}"/>
            </a:ext>
          </a:extLst>
        </xdr:cNvPr>
        <xdr:cNvSpPr/>
      </xdr:nvSpPr>
      <xdr:spPr>
        <a:xfrm>
          <a:off x="2021158" y="2601951"/>
          <a:ext cx="5606538" cy="287399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110601</xdr:colOff>
      <xdr:row>13</xdr:row>
      <xdr:rowOff>162622</xdr:rowOff>
    </xdr:from>
    <xdr:to>
      <xdr:col>22</xdr:col>
      <xdr:colOff>280919</xdr:colOff>
      <xdr:row>29</xdr:row>
      <xdr:rowOff>62961</xdr:rowOff>
    </xdr:to>
    <xdr:sp macro="" textlink="">
      <xdr:nvSpPr>
        <xdr:cNvPr id="59" name="Rectangle: Rounded Corners 58">
          <a:extLst>
            <a:ext uri="{FF2B5EF4-FFF2-40B4-BE49-F238E27FC236}">
              <a16:creationId xmlns:a16="http://schemas.microsoft.com/office/drawing/2014/main" id="{3918CF0D-3E65-4C79-A0C4-AF622B5C5E19}"/>
            </a:ext>
          </a:extLst>
        </xdr:cNvPr>
        <xdr:cNvSpPr/>
      </xdr:nvSpPr>
      <xdr:spPr>
        <a:xfrm>
          <a:off x="7916960" y="2585285"/>
          <a:ext cx="5574720" cy="288207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186355</xdr:colOff>
      <xdr:row>31</xdr:row>
      <xdr:rowOff>23737</xdr:rowOff>
    </xdr:from>
    <xdr:to>
      <xdr:col>12</xdr:col>
      <xdr:colOff>356673</xdr:colOff>
      <xdr:row>46</xdr:row>
      <xdr:rowOff>109929</xdr:rowOff>
    </xdr:to>
    <xdr:sp macro="" textlink="">
      <xdr:nvSpPr>
        <xdr:cNvPr id="60" name="Rectangle: Rounded Corners 59">
          <a:extLst>
            <a:ext uri="{FF2B5EF4-FFF2-40B4-BE49-F238E27FC236}">
              <a16:creationId xmlns:a16="http://schemas.microsoft.com/office/drawing/2014/main" id="{2305429E-1D3E-413A-B932-0062367D5F1E}"/>
            </a:ext>
          </a:extLst>
        </xdr:cNvPr>
        <xdr:cNvSpPr/>
      </xdr:nvSpPr>
      <xdr:spPr>
        <a:xfrm>
          <a:off x="1987822" y="5800857"/>
          <a:ext cx="5574721" cy="288157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87871</xdr:colOff>
      <xdr:row>31</xdr:row>
      <xdr:rowOff>0</xdr:rowOff>
    </xdr:from>
    <xdr:to>
      <xdr:col>22</xdr:col>
      <xdr:colOff>258189</xdr:colOff>
      <xdr:row>46</xdr:row>
      <xdr:rowOff>86698</xdr:rowOff>
    </xdr:to>
    <xdr:sp macro="" textlink="">
      <xdr:nvSpPr>
        <xdr:cNvPr id="61" name="Rectangle: Rounded Corners 60">
          <a:extLst>
            <a:ext uri="{FF2B5EF4-FFF2-40B4-BE49-F238E27FC236}">
              <a16:creationId xmlns:a16="http://schemas.microsoft.com/office/drawing/2014/main" id="{A888C049-BDE5-4388-BC29-16C28AC1CE9F}"/>
            </a:ext>
          </a:extLst>
        </xdr:cNvPr>
        <xdr:cNvSpPr/>
      </xdr:nvSpPr>
      <xdr:spPr>
        <a:xfrm>
          <a:off x="7894230" y="5777120"/>
          <a:ext cx="5574720" cy="288207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221286</xdr:colOff>
      <xdr:row>48</xdr:row>
      <xdr:rowOff>23737</xdr:rowOff>
    </xdr:from>
    <xdr:to>
      <xdr:col>12</xdr:col>
      <xdr:colOff>391604</xdr:colOff>
      <xdr:row>63</xdr:row>
      <xdr:rowOff>109928</xdr:rowOff>
    </xdr:to>
    <xdr:sp macro="" textlink="">
      <xdr:nvSpPr>
        <xdr:cNvPr id="62" name="Rectangle: Rounded Corners 61">
          <a:extLst>
            <a:ext uri="{FF2B5EF4-FFF2-40B4-BE49-F238E27FC236}">
              <a16:creationId xmlns:a16="http://schemas.microsoft.com/office/drawing/2014/main" id="{F092FAFE-5C65-4315-9A06-D887020480EA}"/>
            </a:ext>
          </a:extLst>
        </xdr:cNvPr>
        <xdr:cNvSpPr/>
      </xdr:nvSpPr>
      <xdr:spPr>
        <a:xfrm>
          <a:off x="2055204" y="8894782"/>
          <a:ext cx="5672072" cy="285839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122802</xdr:colOff>
      <xdr:row>48</xdr:row>
      <xdr:rowOff>0</xdr:rowOff>
    </xdr:from>
    <xdr:to>
      <xdr:col>22</xdr:col>
      <xdr:colOff>293120</xdr:colOff>
      <xdr:row>63</xdr:row>
      <xdr:rowOff>86697</xdr:rowOff>
    </xdr:to>
    <xdr:sp macro="" textlink="">
      <xdr:nvSpPr>
        <xdr:cNvPr id="63" name="Rectangle: Rounded Corners 62">
          <a:extLst>
            <a:ext uri="{FF2B5EF4-FFF2-40B4-BE49-F238E27FC236}">
              <a16:creationId xmlns:a16="http://schemas.microsoft.com/office/drawing/2014/main" id="{F39DCF78-5BD3-48FD-BF00-6C19C9240B9E}"/>
            </a:ext>
          </a:extLst>
        </xdr:cNvPr>
        <xdr:cNvSpPr/>
      </xdr:nvSpPr>
      <xdr:spPr>
        <a:xfrm>
          <a:off x="8069780" y="8871045"/>
          <a:ext cx="5672071" cy="285889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339989</xdr:colOff>
      <xdr:row>2</xdr:row>
      <xdr:rowOff>4233</xdr:rowOff>
    </xdr:from>
    <xdr:to>
      <xdr:col>5</xdr:col>
      <xdr:colOff>0</xdr:colOff>
      <xdr:row>16</xdr:row>
      <xdr:rowOff>147902</xdr:rowOff>
    </xdr:to>
    <xdr:graphicFrame macro="">
      <xdr:nvGraphicFramePr>
        <xdr:cNvPr id="2" name="Chart 1">
          <a:extLst>
            <a:ext uri="{FF2B5EF4-FFF2-40B4-BE49-F238E27FC236}">
              <a16:creationId xmlns:a16="http://schemas.microsoft.com/office/drawing/2014/main" id="{11BB876A-46F1-ECAD-DAAB-32072C625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472280</xdr:colOff>
      <xdr:row>28</xdr:row>
      <xdr:rowOff>182827</xdr:rowOff>
    </xdr:from>
    <xdr:to>
      <xdr:col>5</xdr:col>
      <xdr:colOff>544286</xdr:colOff>
      <xdr:row>41</xdr:row>
      <xdr:rowOff>52917</xdr:rowOff>
    </xdr:to>
    <xdr:graphicFrame macro="">
      <xdr:nvGraphicFramePr>
        <xdr:cNvPr id="4" name="Chart 3">
          <a:extLst>
            <a:ext uri="{FF2B5EF4-FFF2-40B4-BE49-F238E27FC236}">
              <a16:creationId xmlns:a16="http://schemas.microsoft.com/office/drawing/2014/main" id="{B2F2214F-9FCB-D96C-6B0A-A7E9B5599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558484</xdr:colOff>
      <xdr:row>28</xdr:row>
      <xdr:rowOff>136130</xdr:rowOff>
    </xdr:from>
    <xdr:to>
      <xdr:col>10</xdr:col>
      <xdr:colOff>326571</xdr:colOff>
      <xdr:row>41</xdr:row>
      <xdr:rowOff>136071</xdr:rowOff>
    </xdr:to>
    <xdr:graphicFrame macro="">
      <xdr:nvGraphicFramePr>
        <xdr:cNvPr id="6" name="Chart 5">
          <a:extLst>
            <a:ext uri="{FF2B5EF4-FFF2-40B4-BE49-F238E27FC236}">
              <a16:creationId xmlns:a16="http://schemas.microsoft.com/office/drawing/2014/main" id="{F42D7A96-00E7-8571-F4C4-E92DA76EA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619015</xdr:colOff>
      <xdr:row>45</xdr:row>
      <xdr:rowOff>37597</xdr:rowOff>
    </xdr:from>
    <xdr:to>
      <xdr:col>5</xdr:col>
      <xdr:colOff>564587</xdr:colOff>
      <xdr:row>59</xdr:row>
      <xdr:rowOff>113797</xdr:rowOff>
    </xdr:to>
    <xdr:graphicFrame macro="">
      <xdr:nvGraphicFramePr>
        <xdr:cNvPr id="7" name="Chart 6">
          <a:extLst>
            <a:ext uri="{FF2B5EF4-FFF2-40B4-BE49-F238E27FC236}">
              <a16:creationId xmlns:a16="http://schemas.microsoft.com/office/drawing/2014/main" id="{435FAE90-5DF3-0D19-85CF-97B0EA31D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200578</xdr:colOff>
      <xdr:row>44</xdr:row>
      <xdr:rowOff>145342</xdr:rowOff>
    </xdr:from>
    <xdr:to>
      <xdr:col>11</xdr:col>
      <xdr:colOff>929820</xdr:colOff>
      <xdr:row>58</xdr:row>
      <xdr:rowOff>172153</xdr:rowOff>
    </xdr:to>
    <xdr:graphicFrame macro="">
      <xdr:nvGraphicFramePr>
        <xdr:cNvPr id="8" name="Chart 7">
          <a:extLst>
            <a:ext uri="{FF2B5EF4-FFF2-40B4-BE49-F238E27FC236}">
              <a16:creationId xmlns:a16="http://schemas.microsoft.com/office/drawing/2014/main" id="{CED60C18-84BE-0891-AE10-6C3C4F9B8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397676</xdr:colOff>
      <xdr:row>78</xdr:row>
      <xdr:rowOff>142805</xdr:rowOff>
    </xdr:from>
    <xdr:to>
      <xdr:col>7</xdr:col>
      <xdr:colOff>369102</xdr:colOff>
      <xdr:row>92</xdr:row>
      <xdr:rowOff>6614</xdr:rowOff>
    </xdr:to>
    <mc:AlternateContent xmlns:mc="http://schemas.openxmlformats.org/markup-compatibility/2006" xmlns:a14="http://schemas.microsoft.com/office/drawing/2010/main">
      <mc:Choice Requires="a14">
        <xdr:graphicFrame macro="">
          <xdr:nvGraphicFramePr>
            <xdr:cNvPr id="9" name="BRANCH 1">
              <a:extLst>
                <a:ext uri="{FF2B5EF4-FFF2-40B4-BE49-F238E27FC236}">
                  <a16:creationId xmlns:a16="http://schemas.microsoft.com/office/drawing/2014/main" id="{0AEF6A30-9F1C-6A4A-6D55-0B909DAA5BA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9478176" y="15001805"/>
              <a:ext cx="1812926" cy="253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648210</xdr:colOff>
      <xdr:row>63</xdr:row>
      <xdr:rowOff>80113</xdr:rowOff>
    </xdr:from>
    <xdr:to>
      <xdr:col>2</xdr:col>
      <xdr:colOff>2439590</xdr:colOff>
      <xdr:row>76</xdr:row>
      <xdr:rowOff>139643</xdr:rowOff>
    </xdr:to>
    <mc:AlternateContent xmlns:mc="http://schemas.openxmlformats.org/markup-compatibility/2006" xmlns:a14="http://schemas.microsoft.com/office/drawing/2010/main">
      <mc:Choice Requires="a14">
        <xdr:graphicFrame macro="">
          <xdr:nvGraphicFramePr>
            <xdr:cNvPr id="10" name="CUSTOMER NAME 2">
              <a:extLst>
                <a:ext uri="{FF2B5EF4-FFF2-40B4-BE49-F238E27FC236}">
                  <a16:creationId xmlns:a16="http://schemas.microsoft.com/office/drawing/2014/main" id="{2BAF9D78-0EC9-213F-A4F5-A33B2A760D88}"/>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mlns="">
        <xdr:sp macro="" textlink="">
          <xdr:nvSpPr>
            <xdr:cNvPr id="0" name=""/>
            <xdr:cNvSpPr>
              <a:spLocks noTextEdit="1"/>
            </xdr:cNvSpPr>
          </xdr:nvSpPr>
          <xdr:spPr>
            <a:xfrm>
              <a:off x="4902710" y="12081613"/>
              <a:ext cx="1791380" cy="2536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438673</xdr:colOff>
      <xdr:row>63</xdr:row>
      <xdr:rowOff>103205</xdr:rowOff>
    </xdr:from>
    <xdr:to>
      <xdr:col>7</xdr:col>
      <xdr:colOff>395264</xdr:colOff>
      <xdr:row>76</xdr:row>
      <xdr:rowOff>150830</xdr:rowOff>
    </xdr:to>
    <mc:AlternateContent xmlns:mc="http://schemas.openxmlformats.org/markup-compatibility/2006" xmlns:a14="http://schemas.microsoft.com/office/drawing/2010/main">
      <mc:Choice Requires="a14">
        <xdr:graphicFrame macro="">
          <xdr:nvGraphicFramePr>
            <xdr:cNvPr id="11" name="PRODUCT 2">
              <a:extLst>
                <a:ext uri="{FF2B5EF4-FFF2-40B4-BE49-F238E27FC236}">
                  <a16:creationId xmlns:a16="http://schemas.microsoft.com/office/drawing/2014/main" id="{9A35A722-EEBA-A5E5-06B6-53CF6374F97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9519173" y="12104705"/>
              <a:ext cx="179809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545873</xdr:colOff>
      <xdr:row>78</xdr:row>
      <xdr:rowOff>19264</xdr:rowOff>
    </xdr:from>
    <xdr:to>
      <xdr:col>2</xdr:col>
      <xdr:colOff>2309601</xdr:colOff>
      <xdr:row>91</xdr:row>
      <xdr:rowOff>72492</xdr:rowOff>
    </xdr:to>
    <mc:AlternateContent xmlns:mc="http://schemas.openxmlformats.org/markup-compatibility/2006" xmlns:a14="http://schemas.microsoft.com/office/drawing/2010/main">
      <mc:Choice Requires="a14">
        <xdr:graphicFrame macro="">
          <xdr:nvGraphicFramePr>
            <xdr:cNvPr id="12" name="QUANTITY 2">
              <a:extLst>
                <a:ext uri="{FF2B5EF4-FFF2-40B4-BE49-F238E27FC236}">
                  <a16:creationId xmlns:a16="http://schemas.microsoft.com/office/drawing/2014/main" id="{B0DDDFE4-B24B-1D28-35B0-251ACC61949A}"/>
                </a:ext>
              </a:extLst>
            </xdr:cNvPr>
            <xdr:cNvGraphicFramePr/>
          </xdr:nvGraphicFramePr>
          <xdr:xfrm>
            <a:off x="0" y="0"/>
            <a:ext cx="0" cy="0"/>
          </xdr:xfrm>
          <a:graphic>
            <a:graphicData uri="http://schemas.microsoft.com/office/drawing/2010/slicer">
              <sle:slicer xmlns:sle="http://schemas.microsoft.com/office/drawing/2010/slicer" name="QUANTITY 2"/>
            </a:graphicData>
          </a:graphic>
        </xdr:graphicFrame>
      </mc:Choice>
      <mc:Fallback xmlns="">
        <xdr:sp macro="" textlink="">
          <xdr:nvSpPr>
            <xdr:cNvPr id="0" name=""/>
            <xdr:cNvSpPr>
              <a:spLocks noTextEdit="1"/>
            </xdr:cNvSpPr>
          </xdr:nvSpPr>
          <xdr:spPr>
            <a:xfrm>
              <a:off x="4800373" y="14878264"/>
              <a:ext cx="1763728" cy="2529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135282</xdr:colOff>
      <xdr:row>63</xdr:row>
      <xdr:rowOff>159204</xdr:rowOff>
    </xdr:from>
    <xdr:to>
      <xdr:col>3</xdr:col>
      <xdr:colOff>1898243</xdr:colOff>
      <xdr:row>77</xdr:row>
      <xdr:rowOff>16330</xdr:rowOff>
    </xdr:to>
    <mc:AlternateContent xmlns:mc="http://schemas.openxmlformats.org/markup-compatibility/2006" xmlns:a14="http://schemas.microsoft.com/office/drawing/2010/main">
      <mc:Choice Requires="a14">
        <xdr:graphicFrame macro="">
          <xdr:nvGraphicFramePr>
            <xdr:cNvPr id="13" name="UNIT PRICE 2">
              <a:extLst>
                <a:ext uri="{FF2B5EF4-FFF2-40B4-BE49-F238E27FC236}">
                  <a16:creationId xmlns:a16="http://schemas.microsoft.com/office/drawing/2014/main" id="{7E687AE5-4682-60FA-84E8-3FD2468BD249}"/>
                </a:ext>
              </a:extLst>
            </xdr:cNvPr>
            <xdr:cNvGraphicFramePr/>
          </xdr:nvGraphicFramePr>
          <xdr:xfrm>
            <a:off x="0" y="0"/>
            <a:ext cx="0" cy="0"/>
          </xdr:xfrm>
          <a:graphic>
            <a:graphicData uri="http://schemas.microsoft.com/office/drawing/2010/slicer">
              <sle:slicer xmlns:sle="http://schemas.microsoft.com/office/drawing/2010/slicer" name="UNIT PRICE 2"/>
            </a:graphicData>
          </a:graphic>
        </xdr:graphicFrame>
      </mc:Choice>
      <mc:Fallback xmlns="">
        <xdr:sp macro="" textlink="">
          <xdr:nvSpPr>
            <xdr:cNvPr id="0" name=""/>
            <xdr:cNvSpPr>
              <a:spLocks noTextEdit="1"/>
            </xdr:cNvSpPr>
          </xdr:nvSpPr>
          <xdr:spPr>
            <a:xfrm>
              <a:off x="7247282" y="12160704"/>
              <a:ext cx="1762961" cy="2524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1116290</xdr:colOff>
      <xdr:row>63</xdr:row>
      <xdr:rowOff>83683</xdr:rowOff>
    </xdr:from>
    <xdr:to>
      <xdr:col>11</xdr:col>
      <xdr:colOff>477993</xdr:colOff>
      <xdr:row>76</xdr:row>
      <xdr:rowOff>141333</xdr:rowOff>
    </xdr:to>
    <mc:AlternateContent xmlns:mc="http://schemas.openxmlformats.org/markup-compatibility/2006" xmlns:a14="http://schemas.microsoft.com/office/drawing/2010/main">
      <mc:Choice Requires="a14">
        <xdr:graphicFrame macro="">
          <xdr:nvGraphicFramePr>
            <xdr:cNvPr id="14" name="TOTAL 1">
              <a:extLst>
                <a:ext uri="{FF2B5EF4-FFF2-40B4-BE49-F238E27FC236}">
                  <a16:creationId xmlns:a16="http://schemas.microsoft.com/office/drawing/2014/main" id="{B1AFA0BD-DE1E-79F4-0DA4-8CF5BC23D04C}"/>
                </a:ext>
              </a:extLst>
            </xdr:cNvPr>
            <xdr:cNvGraphicFramePr/>
          </xdr:nvGraphicFramePr>
          <xdr:xfrm>
            <a:off x="0" y="0"/>
            <a:ext cx="0" cy="0"/>
          </xdr:xfrm>
          <a:graphic>
            <a:graphicData uri="http://schemas.microsoft.com/office/drawing/2010/slicer">
              <sle:slicer xmlns:sle="http://schemas.microsoft.com/office/drawing/2010/slicer" name="TOTAL 1"/>
            </a:graphicData>
          </a:graphic>
        </xdr:graphicFrame>
      </mc:Choice>
      <mc:Fallback xmlns="">
        <xdr:sp macro="" textlink="">
          <xdr:nvSpPr>
            <xdr:cNvPr id="0" name=""/>
            <xdr:cNvSpPr>
              <a:spLocks noTextEdit="1"/>
            </xdr:cNvSpPr>
          </xdr:nvSpPr>
          <xdr:spPr>
            <a:xfrm>
              <a:off x="14091457" y="12085183"/>
              <a:ext cx="1817036" cy="253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339499</xdr:colOff>
      <xdr:row>63</xdr:row>
      <xdr:rowOff>74160</xdr:rowOff>
    </xdr:from>
    <xdr:to>
      <xdr:col>9</xdr:col>
      <xdr:colOff>703885</xdr:colOff>
      <xdr:row>76</xdr:row>
      <xdr:rowOff>121786</xdr:rowOff>
    </xdr:to>
    <mc:AlternateContent xmlns:mc="http://schemas.openxmlformats.org/markup-compatibility/2006" xmlns:a14="http://schemas.microsoft.com/office/drawing/2010/main">
      <mc:Choice Requires="a14">
        <xdr:graphicFrame macro="">
          <xdr:nvGraphicFramePr>
            <xdr:cNvPr id="15" name="AVERAGE">
              <a:extLst>
                <a:ext uri="{FF2B5EF4-FFF2-40B4-BE49-F238E27FC236}">
                  <a16:creationId xmlns:a16="http://schemas.microsoft.com/office/drawing/2014/main" id="{E64F5233-CCEB-54A2-6BD9-3B704A304CCA}"/>
                </a:ext>
              </a:extLst>
            </xdr:cNvPr>
            <xdr:cNvGraphicFramePr/>
          </xdr:nvGraphicFramePr>
          <xdr:xfrm>
            <a:off x="0" y="0"/>
            <a:ext cx="0" cy="0"/>
          </xdr:xfrm>
          <a:graphic>
            <a:graphicData uri="http://schemas.microsoft.com/office/drawing/2010/slicer">
              <sle:slicer xmlns:sle="http://schemas.microsoft.com/office/drawing/2010/slicer" name="AVERAGE"/>
            </a:graphicData>
          </a:graphic>
        </xdr:graphicFrame>
      </mc:Choice>
      <mc:Fallback xmlns="">
        <xdr:sp macro="" textlink="">
          <xdr:nvSpPr>
            <xdr:cNvPr id="0" name=""/>
            <xdr:cNvSpPr>
              <a:spLocks noTextEdit="1"/>
            </xdr:cNvSpPr>
          </xdr:nvSpPr>
          <xdr:spPr>
            <a:xfrm>
              <a:off x="11875332" y="12075660"/>
              <a:ext cx="1803720" cy="2524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364051</xdr:colOff>
      <xdr:row>79</xdr:row>
      <xdr:rowOff>32747</xdr:rowOff>
    </xdr:from>
    <xdr:to>
      <xdr:col>9</xdr:col>
      <xdr:colOff>681061</xdr:colOff>
      <xdr:row>84</xdr:row>
      <xdr:rowOff>27215</xdr:rowOff>
    </xdr:to>
    <mc:AlternateContent xmlns:mc="http://schemas.openxmlformats.org/markup-compatibility/2006" xmlns:a14="http://schemas.microsoft.com/office/drawing/2010/main">
      <mc:Choice Requires="a14">
        <xdr:graphicFrame macro="">
          <xdr:nvGraphicFramePr>
            <xdr:cNvPr id="16" name="CUSTOMER TYPE 2">
              <a:extLst>
                <a:ext uri="{FF2B5EF4-FFF2-40B4-BE49-F238E27FC236}">
                  <a16:creationId xmlns:a16="http://schemas.microsoft.com/office/drawing/2014/main" id="{6119FC17-9F2D-A500-C036-78EA93ED78BC}"/>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11899884" y="15082247"/>
              <a:ext cx="1756344" cy="946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107043</xdr:colOff>
      <xdr:row>79</xdr:row>
      <xdr:rowOff>1211</xdr:rowOff>
    </xdr:from>
    <xdr:to>
      <xdr:col>3</xdr:col>
      <xdr:colOff>1874610</xdr:colOff>
      <xdr:row>84</xdr:row>
      <xdr:rowOff>14616</xdr:rowOff>
    </xdr:to>
    <mc:AlternateContent xmlns:mc="http://schemas.openxmlformats.org/markup-compatibility/2006" xmlns:a14="http://schemas.microsoft.com/office/drawing/2010/main">
      <mc:Choice Requires="a14">
        <xdr:graphicFrame macro="">
          <xdr:nvGraphicFramePr>
            <xdr:cNvPr id="17" name="PAYMENT METHOD 2">
              <a:extLst>
                <a:ext uri="{FF2B5EF4-FFF2-40B4-BE49-F238E27FC236}">
                  <a16:creationId xmlns:a16="http://schemas.microsoft.com/office/drawing/2014/main" id="{30ABF4E8-7EF1-BDE8-3804-6A5CCCD08D4A}"/>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7219043" y="15050711"/>
              <a:ext cx="1767567" cy="96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xdr:row>
      <xdr:rowOff>0</xdr:rowOff>
    </xdr:from>
    <xdr:to>
      <xdr:col>10</xdr:col>
      <xdr:colOff>707571</xdr:colOff>
      <xdr:row>16</xdr:row>
      <xdr:rowOff>155575</xdr:rowOff>
    </xdr:to>
    <xdr:graphicFrame macro="">
      <xdr:nvGraphicFramePr>
        <xdr:cNvPr id="5" name="Chart 4">
          <a:extLst>
            <a:ext uri="{FF2B5EF4-FFF2-40B4-BE49-F238E27FC236}">
              <a16:creationId xmlns:a16="http://schemas.microsoft.com/office/drawing/2014/main" id="{CA6F80D8-0AF3-458D-9B74-EBC375771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 refreshedDate="45861.823363194446" createdVersion="8" refreshedVersion="8" minRefreshableVersion="3" recordCount="25" xr:uid="{7D5DD430-50A0-4483-AB48-3148CDD82515}">
  <cacheSource type="worksheet">
    <worksheetSource name="Table2"/>
  </cacheSource>
  <cacheFields count="13">
    <cacheField name="S.NO" numFmtId="0">
      <sharedItems containsSemiMixedTypes="0" containsString="0" containsNumber="1" containsInteger="1" minValue="1" maxValue="25"/>
    </cacheField>
    <cacheField name="INVOICE ID" numFmtId="0">
      <sharedItems containsSemiMixedTypes="0" containsString="0" containsNumber="1" containsInteger="1" minValue="543201" maxValue="543225"/>
    </cacheField>
    <cacheField name="ORDER DATE" numFmtId="14">
      <sharedItems containsSemiMixedTypes="0" containsNonDate="0" containsDate="1" containsString="0" minDate="2025-07-22T00:00:00" maxDate="2025-08-16T00:00:00"/>
    </cacheField>
    <cacheField name="ORDER TIME" numFmtId="0">
      <sharedItems/>
    </cacheField>
    <cacheField name="BRANCH" numFmtId="0">
      <sharedItems count="3">
        <s v="A"/>
        <s v="B"/>
        <s v="C"/>
      </sharedItems>
    </cacheField>
    <cacheField name="CUSTOMER NAME" numFmtId="0">
      <sharedItems count="25">
        <s v="MAINA"/>
        <s v="GIRIJA"/>
        <s v="DYANA"/>
        <s v="PRASANTH"/>
        <s v="SHRI"/>
        <s v="ANU"/>
        <s v="VETRI"/>
        <s v="SIMBA"/>
        <s v="NALA"/>
        <s v="RIYA"/>
        <s v="REBE"/>
        <s v="JONI"/>
        <s v="KUZHAL"/>
        <s v="HARI"/>
        <s v="HARAN"/>
        <s v="LOGESH"/>
        <s v="AADHI"/>
        <s v="KATHIR"/>
        <s v="MITHU"/>
        <s v="KRISHNA"/>
        <s v="SANKITH"/>
        <s v="BALAJI"/>
        <s v="BALA"/>
        <s v="SURYA"/>
        <s v="MURALI"/>
      </sharedItems>
    </cacheField>
    <cacheField name="PRODUCT" numFmtId="0">
      <sharedItems count="25">
        <s v="JUICE"/>
        <s v="MILK"/>
        <s v="KIT KAT"/>
        <s v="SUGAR"/>
        <s v="WHEAT"/>
        <s v="VEGETABLES"/>
        <s v="FACE WASH"/>
        <s v="PERSONAL CARE"/>
        <s v="COSMETICS"/>
        <s v="GROCERY"/>
        <s v="SMART PHONES"/>
        <s v="FRUITS"/>
        <s v="TOOTHPASTE"/>
        <s v="SOAP"/>
        <s v="BODY WASH"/>
        <s v="SUNSCEERN"/>
        <s v="TOYS"/>
        <s v="PEN"/>
        <s v="DIARY MILK"/>
        <s v="ICE CREAM"/>
        <s v="ROSE WATER"/>
        <s v="NOTE BOOK"/>
        <s v="MAGGIE"/>
        <s v="GRAINS"/>
        <s v="WATCH"/>
      </sharedItems>
    </cacheField>
    <cacheField name="QUANTITY" numFmtId="0">
      <sharedItems containsSemiMixedTypes="0" containsString="0" containsNumber="1" containsInteger="1" minValue="80" maxValue="900" count="20">
        <n v="430"/>
        <n v="440"/>
        <n v="80"/>
        <n v="110"/>
        <n v="250"/>
        <n v="350"/>
        <n v="900"/>
        <n v="420"/>
        <n v="500"/>
        <n v="670"/>
        <n v="700"/>
        <n v="600"/>
        <n v="740"/>
        <n v="300"/>
        <n v="400"/>
        <n v="200"/>
        <n v="560"/>
        <n v="633"/>
        <n v="650"/>
        <n v="100"/>
      </sharedItems>
    </cacheField>
    <cacheField name="UNIT PRICE" numFmtId="0">
      <sharedItems containsSemiMixedTypes="0" containsString="0" containsNumber="1" containsInteger="1" minValue="5" maxValue="120" count="14">
        <n v="10"/>
        <n v="5"/>
        <n v="15"/>
        <n v="30"/>
        <n v="100"/>
        <n v="50"/>
        <n v="90"/>
        <n v="60"/>
        <n v="20"/>
        <n v="25"/>
        <n v="35"/>
        <n v="120"/>
        <n v="40"/>
        <n v="70"/>
      </sharedItems>
    </cacheField>
    <cacheField name="TOTAL" numFmtId="0">
      <sharedItems containsSemiMixedTypes="0" containsString="0" containsNumber="1" containsInteger="1" minValue="1100" maxValue="67200" count="23">
        <n v="4300"/>
        <n v="2200"/>
        <n v="1200"/>
        <n v="1100"/>
        <n v="7500"/>
        <n v="35000"/>
        <n v="45000"/>
        <n v="37800"/>
        <n v="30000"/>
        <n v="5000"/>
        <n v="20100"/>
        <n v="7000"/>
        <n v="17500"/>
        <n v="21000"/>
        <n v="37000"/>
        <n v="6000"/>
        <n v="3000"/>
        <n v="24000"/>
        <n v="67200"/>
        <n v="25320"/>
        <n v="32500"/>
        <n v="12000"/>
        <n v="14000"/>
      </sharedItems>
    </cacheField>
    <cacheField name="AVERAGE" numFmtId="0">
      <sharedItems containsSemiMixedTypes="0" containsString="0" containsNumber="1" containsInteger="1" minValue="18589" maxValue="27790" count="25">
        <n v="18589"/>
        <n v="19184"/>
        <n v="19138"/>
        <n v="21888"/>
        <n v="22792"/>
        <n v="23487"/>
        <n v="22939"/>
        <n v="21836"/>
        <n v="20996"/>
        <n v="20496"/>
        <n v="21407"/>
        <n v="21489"/>
        <n v="22455"/>
        <n v="22809"/>
        <n v="22948"/>
        <n v="21777"/>
        <n v="23211"/>
        <n v="25232"/>
        <n v="25369"/>
        <n v="27790"/>
        <n v="22160"/>
        <n v="21633"/>
        <n v="19460"/>
        <n v="23575"/>
        <n v="27433"/>
      </sharedItems>
    </cacheField>
    <cacheField name="CUSTOMER TYPE" numFmtId="0">
      <sharedItems count="2">
        <s v="MEMBER "/>
        <s v="NORMAL"/>
      </sharedItems>
    </cacheField>
    <cacheField name="PAYMENT METHOD" numFmtId="0">
      <sharedItems count="2">
        <s v="CARD"/>
        <s v="CASH"/>
      </sharedItems>
    </cacheField>
  </cacheFields>
  <extLst>
    <ext xmlns:x14="http://schemas.microsoft.com/office/spreadsheetml/2009/9/main" uri="{725AE2AE-9491-48be-B2B4-4EB974FC3084}">
      <x14:pivotCacheDefinition pivotCacheId="1966606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n v="543201"/>
    <d v="2025-07-22T00:00:00"/>
    <s v="1.00 AM"/>
    <x v="0"/>
    <x v="0"/>
    <x v="0"/>
    <x v="0"/>
    <x v="0"/>
    <x v="0"/>
    <x v="0"/>
    <x v="0"/>
    <x v="0"/>
  </r>
  <r>
    <n v="2"/>
    <n v="543202"/>
    <d v="2025-07-23T00:00:00"/>
    <s v="3.55 AM"/>
    <x v="1"/>
    <x v="1"/>
    <x v="1"/>
    <x v="1"/>
    <x v="1"/>
    <x v="1"/>
    <x v="1"/>
    <x v="1"/>
    <x v="1"/>
  </r>
  <r>
    <n v="3"/>
    <n v="543203"/>
    <d v="2025-07-24T00:00:00"/>
    <s v="5.00 AM"/>
    <x v="2"/>
    <x v="2"/>
    <x v="2"/>
    <x v="2"/>
    <x v="2"/>
    <x v="2"/>
    <x v="2"/>
    <x v="0"/>
    <x v="0"/>
  </r>
  <r>
    <n v="4"/>
    <n v="543204"/>
    <d v="2025-07-25T00:00:00"/>
    <s v="11.30 AM"/>
    <x v="0"/>
    <x v="3"/>
    <x v="3"/>
    <x v="3"/>
    <x v="0"/>
    <x v="3"/>
    <x v="3"/>
    <x v="1"/>
    <x v="1"/>
  </r>
  <r>
    <n v="5"/>
    <n v="543205"/>
    <d v="2025-07-26T00:00:00"/>
    <s v="2.00 AM"/>
    <x v="1"/>
    <x v="4"/>
    <x v="4"/>
    <x v="4"/>
    <x v="3"/>
    <x v="4"/>
    <x v="4"/>
    <x v="1"/>
    <x v="1"/>
  </r>
  <r>
    <n v="6"/>
    <n v="543206"/>
    <d v="2025-07-27T00:00:00"/>
    <s v="4.30 AM"/>
    <x v="1"/>
    <x v="5"/>
    <x v="5"/>
    <x v="5"/>
    <x v="4"/>
    <x v="5"/>
    <x v="5"/>
    <x v="0"/>
    <x v="1"/>
  </r>
  <r>
    <n v="7"/>
    <n v="543207"/>
    <d v="2025-07-28T00:00:00"/>
    <s v="5.00 AM"/>
    <x v="0"/>
    <x v="6"/>
    <x v="6"/>
    <x v="6"/>
    <x v="5"/>
    <x v="6"/>
    <x v="6"/>
    <x v="0"/>
    <x v="0"/>
  </r>
  <r>
    <n v="8"/>
    <n v="543208"/>
    <d v="2025-07-29T00:00:00"/>
    <s v="9.45 AM"/>
    <x v="2"/>
    <x v="7"/>
    <x v="7"/>
    <x v="7"/>
    <x v="6"/>
    <x v="7"/>
    <x v="7"/>
    <x v="1"/>
    <x v="1"/>
  </r>
  <r>
    <n v="9"/>
    <n v="543209"/>
    <d v="2025-07-30T00:00:00"/>
    <s v="6.00 AM"/>
    <x v="0"/>
    <x v="8"/>
    <x v="8"/>
    <x v="8"/>
    <x v="7"/>
    <x v="8"/>
    <x v="8"/>
    <x v="0"/>
    <x v="0"/>
  </r>
  <r>
    <n v="10"/>
    <n v="543210"/>
    <d v="2025-07-31T00:00:00"/>
    <s v="8.35 AM"/>
    <x v="0"/>
    <x v="9"/>
    <x v="9"/>
    <x v="4"/>
    <x v="8"/>
    <x v="9"/>
    <x v="9"/>
    <x v="1"/>
    <x v="1"/>
  </r>
  <r>
    <n v="11"/>
    <n v="543211"/>
    <d v="2025-08-01T00:00:00"/>
    <s v="10.55 AM"/>
    <x v="2"/>
    <x v="10"/>
    <x v="10"/>
    <x v="9"/>
    <x v="3"/>
    <x v="10"/>
    <x v="10"/>
    <x v="0"/>
    <x v="0"/>
  </r>
  <r>
    <n v="12"/>
    <n v="543212"/>
    <d v="2025-08-02T00:00:00"/>
    <s v="2.45 AM"/>
    <x v="0"/>
    <x v="11"/>
    <x v="11"/>
    <x v="5"/>
    <x v="8"/>
    <x v="11"/>
    <x v="11"/>
    <x v="1"/>
    <x v="1"/>
  </r>
  <r>
    <n v="13"/>
    <n v="543213"/>
    <d v="2025-08-03T00:00:00"/>
    <s v="1. 45 AM"/>
    <x v="0"/>
    <x v="12"/>
    <x v="12"/>
    <x v="10"/>
    <x v="9"/>
    <x v="12"/>
    <x v="12"/>
    <x v="0"/>
    <x v="1"/>
  </r>
  <r>
    <n v="14"/>
    <n v="543214"/>
    <d v="2025-08-04T00:00:00"/>
    <s v="3.54 AM"/>
    <x v="1"/>
    <x v="13"/>
    <x v="13"/>
    <x v="11"/>
    <x v="10"/>
    <x v="13"/>
    <x v="13"/>
    <x v="0"/>
    <x v="1"/>
  </r>
  <r>
    <n v="15"/>
    <n v="543215"/>
    <d v="2025-08-05T00:00:00"/>
    <s v="3.55 AM"/>
    <x v="1"/>
    <x v="14"/>
    <x v="14"/>
    <x v="12"/>
    <x v="5"/>
    <x v="14"/>
    <x v="14"/>
    <x v="0"/>
    <x v="0"/>
  </r>
  <r>
    <n v="16"/>
    <n v="543216"/>
    <d v="2025-08-06T00:00:00"/>
    <s v="5.00 AM"/>
    <x v="0"/>
    <x v="15"/>
    <x v="15"/>
    <x v="13"/>
    <x v="8"/>
    <x v="15"/>
    <x v="15"/>
    <x v="1"/>
    <x v="0"/>
  </r>
  <r>
    <n v="17"/>
    <n v="543217"/>
    <d v="2025-08-07T00:00:00"/>
    <s v="11.30 AM"/>
    <x v="2"/>
    <x v="16"/>
    <x v="16"/>
    <x v="11"/>
    <x v="1"/>
    <x v="16"/>
    <x v="16"/>
    <x v="0"/>
    <x v="0"/>
  </r>
  <r>
    <n v="18"/>
    <n v="543218"/>
    <d v="2025-08-08T00:00:00"/>
    <s v="2.00 AM"/>
    <x v="0"/>
    <x v="17"/>
    <x v="17"/>
    <x v="14"/>
    <x v="7"/>
    <x v="17"/>
    <x v="17"/>
    <x v="1"/>
    <x v="0"/>
  </r>
  <r>
    <n v="19"/>
    <n v="543219"/>
    <d v="2025-08-09T00:00:00"/>
    <s v="4.30 AM"/>
    <x v="0"/>
    <x v="18"/>
    <x v="18"/>
    <x v="15"/>
    <x v="3"/>
    <x v="15"/>
    <x v="18"/>
    <x v="0"/>
    <x v="0"/>
  </r>
  <r>
    <n v="20"/>
    <n v="543220"/>
    <d v="2025-08-10T00:00:00"/>
    <s v="5.00 AM"/>
    <x v="1"/>
    <x v="19"/>
    <x v="19"/>
    <x v="16"/>
    <x v="11"/>
    <x v="18"/>
    <x v="19"/>
    <x v="1"/>
    <x v="1"/>
  </r>
  <r>
    <n v="21"/>
    <n v="543221"/>
    <d v="2025-08-11T00:00:00"/>
    <s v="9.45 AM"/>
    <x v="2"/>
    <x v="20"/>
    <x v="20"/>
    <x v="17"/>
    <x v="12"/>
    <x v="19"/>
    <x v="20"/>
    <x v="0"/>
    <x v="1"/>
  </r>
  <r>
    <n v="22"/>
    <n v="543222"/>
    <d v="2025-08-12T00:00:00"/>
    <s v="6.00 AM"/>
    <x v="0"/>
    <x v="21"/>
    <x v="21"/>
    <x v="18"/>
    <x v="5"/>
    <x v="20"/>
    <x v="21"/>
    <x v="0"/>
    <x v="1"/>
  </r>
  <r>
    <n v="23"/>
    <n v="543223"/>
    <d v="2025-08-13T00:00:00"/>
    <s v="8.35 AM"/>
    <x v="2"/>
    <x v="22"/>
    <x v="22"/>
    <x v="19"/>
    <x v="3"/>
    <x v="16"/>
    <x v="22"/>
    <x v="0"/>
    <x v="0"/>
  </r>
  <r>
    <n v="24"/>
    <n v="543224"/>
    <d v="2025-08-14T00:00:00"/>
    <s v="10.55 AM"/>
    <x v="0"/>
    <x v="23"/>
    <x v="23"/>
    <x v="13"/>
    <x v="12"/>
    <x v="21"/>
    <x v="23"/>
    <x v="1"/>
    <x v="0"/>
  </r>
  <r>
    <n v="25"/>
    <n v="543225"/>
    <d v="2025-08-15T00:00:00"/>
    <s v="2.45 AM"/>
    <x v="1"/>
    <x v="24"/>
    <x v="24"/>
    <x v="15"/>
    <x v="13"/>
    <x v="22"/>
    <x v="2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90DD6F-2CF0-4F8C-AABC-B4A2D07B7A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CH">
  <location ref="L34:M38" firstHeaderRow="1" firstDataRow="1" firstDataCol="1"/>
  <pivotFields count="13">
    <pivotField showAll="0"/>
    <pivotField showAll="0"/>
    <pivotField numFmtId="14" showAll="0"/>
    <pivotField showAll="0"/>
    <pivotField axis="axisRow" showAll="0">
      <items count="4">
        <item x="0"/>
        <item x="1"/>
        <item x="2"/>
        <item t="default"/>
      </items>
    </pivotField>
    <pivotField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showAll="0">
      <items count="21">
        <item x="2"/>
        <item x="19"/>
        <item x="3"/>
        <item x="15"/>
        <item x="4"/>
        <item x="13"/>
        <item x="5"/>
        <item x="14"/>
        <item x="7"/>
        <item x="0"/>
        <item x="1"/>
        <item x="8"/>
        <item x="16"/>
        <item x="11"/>
        <item x="17"/>
        <item x="18"/>
        <item x="9"/>
        <item x="10"/>
        <item x="12"/>
        <item x="6"/>
        <item t="default"/>
      </items>
    </pivotField>
    <pivotField showAll="0">
      <items count="15">
        <item x="1"/>
        <item x="0"/>
        <item x="2"/>
        <item x="8"/>
        <item x="9"/>
        <item x="3"/>
        <item x="10"/>
        <item x="12"/>
        <item x="5"/>
        <item x="7"/>
        <item x="13"/>
        <item x="6"/>
        <item x="4"/>
        <item x="11"/>
        <item t="default"/>
      </items>
    </pivotField>
    <pivotField dataField="1" showAll="0">
      <items count="24">
        <item x="3"/>
        <item x="2"/>
        <item x="1"/>
        <item x="16"/>
        <item x="0"/>
        <item x="9"/>
        <item x="15"/>
        <item x="11"/>
        <item x="4"/>
        <item x="21"/>
        <item x="22"/>
        <item x="12"/>
        <item x="10"/>
        <item x="13"/>
        <item x="17"/>
        <item x="19"/>
        <item x="8"/>
        <item x="20"/>
        <item x="5"/>
        <item x="14"/>
        <item x="7"/>
        <item x="6"/>
        <item x="18"/>
        <item t="default"/>
      </items>
    </pivotField>
    <pivotField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showAll="0">
      <items count="3">
        <item x="0"/>
        <item x="1"/>
        <item t="default"/>
      </items>
    </pivotField>
    <pivotField showAll="0">
      <items count="3">
        <item x="0"/>
        <item x="1"/>
        <item t="default"/>
      </items>
    </pivotField>
  </pivotFields>
  <rowFields count="1">
    <field x="4"/>
  </rowFields>
  <rowItems count="4">
    <i>
      <x/>
    </i>
    <i>
      <x v="1"/>
    </i>
    <i>
      <x v="2"/>
    </i>
    <i t="grand">
      <x/>
    </i>
  </rowItems>
  <colItems count="1">
    <i/>
  </colItems>
  <dataFields count="1">
    <dataField name="Sum of TOTAL" fld="9"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3F345-88D7-4FE9-B07F-505D43F0B7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USTOMER NAME">
  <location ref="A3:B29" firstHeaderRow="1" firstDataRow="1" firstDataCol="1"/>
  <pivotFields count="13">
    <pivotField showAll="0"/>
    <pivotField showAll="0"/>
    <pivotField numFmtId="14" showAll="0"/>
    <pivotField showAll="0"/>
    <pivotField showAll="0">
      <items count="4">
        <item x="0"/>
        <item x="1"/>
        <item x="2"/>
        <item t="default"/>
      </items>
    </pivotField>
    <pivotField axis="axisRow"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showAll="0">
      <items count="21">
        <item x="2"/>
        <item x="19"/>
        <item x="3"/>
        <item x="15"/>
        <item x="4"/>
        <item x="13"/>
        <item x="5"/>
        <item x="14"/>
        <item x="7"/>
        <item x="0"/>
        <item x="1"/>
        <item x="8"/>
        <item x="16"/>
        <item x="11"/>
        <item x="17"/>
        <item x="18"/>
        <item x="9"/>
        <item x="10"/>
        <item x="12"/>
        <item x="6"/>
        <item t="default"/>
      </items>
    </pivotField>
    <pivotField dataField="1" showAll="0">
      <items count="15">
        <item x="1"/>
        <item x="0"/>
        <item x="2"/>
        <item x="8"/>
        <item x="9"/>
        <item x="3"/>
        <item x="10"/>
        <item x="12"/>
        <item x="5"/>
        <item x="7"/>
        <item x="13"/>
        <item x="6"/>
        <item x="4"/>
        <item x="11"/>
        <item t="default"/>
      </items>
    </pivotField>
    <pivotField showAll="0">
      <items count="24">
        <item x="3"/>
        <item x="2"/>
        <item x="1"/>
        <item x="16"/>
        <item x="0"/>
        <item x="9"/>
        <item x="15"/>
        <item x="11"/>
        <item x="4"/>
        <item x="21"/>
        <item x="22"/>
        <item x="12"/>
        <item x="10"/>
        <item x="13"/>
        <item x="17"/>
        <item x="19"/>
        <item x="8"/>
        <item x="20"/>
        <item x="5"/>
        <item x="14"/>
        <item x="7"/>
        <item x="6"/>
        <item x="18"/>
        <item t="default"/>
      </items>
    </pivotField>
    <pivotField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showAll="0">
      <items count="3">
        <item x="0"/>
        <item x="1"/>
        <item t="default"/>
      </items>
    </pivotField>
    <pivotField showAll="0">
      <items count="3">
        <item x="0"/>
        <item x="1"/>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UNIT PRICE" fld="8" baseField="0" baseItem="0"/>
  </dataFields>
  <chartFormats count="2">
    <chartFormat chart="0"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D5DFE9-9C1F-4BA4-8D63-8F59128768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TYPE">
  <location ref="A33:B36" firstHeaderRow="1" firstDataRow="1" firstDataCol="1"/>
  <pivotFields count="13">
    <pivotField showAll="0"/>
    <pivotField showAll="0"/>
    <pivotField numFmtId="14" showAll="0"/>
    <pivotField showAll="0"/>
    <pivotField showAll="0">
      <items count="4">
        <item x="0"/>
        <item x="1"/>
        <item x="2"/>
        <item t="default"/>
      </items>
    </pivotField>
    <pivotField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showAll="0">
      <items count="21">
        <item x="2"/>
        <item x="19"/>
        <item x="3"/>
        <item x="15"/>
        <item x="4"/>
        <item x="13"/>
        <item x="5"/>
        <item x="14"/>
        <item x="7"/>
        <item x="0"/>
        <item x="1"/>
        <item x="8"/>
        <item x="16"/>
        <item x="11"/>
        <item x="17"/>
        <item x="18"/>
        <item x="9"/>
        <item x="10"/>
        <item x="12"/>
        <item x="6"/>
        <item t="default"/>
      </items>
    </pivotField>
    <pivotField showAll="0">
      <items count="15">
        <item x="1"/>
        <item x="0"/>
        <item x="2"/>
        <item x="8"/>
        <item x="9"/>
        <item x="3"/>
        <item x="10"/>
        <item x="12"/>
        <item x="5"/>
        <item x="7"/>
        <item x="13"/>
        <item x="6"/>
        <item x="4"/>
        <item x="11"/>
        <item t="default"/>
      </items>
    </pivotField>
    <pivotField showAll="0">
      <items count="24">
        <item x="3"/>
        <item x="2"/>
        <item x="1"/>
        <item x="16"/>
        <item x="0"/>
        <item x="9"/>
        <item x="15"/>
        <item x="11"/>
        <item x="4"/>
        <item x="21"/>
        <item x="22"/>
        <item x="12"/>
        <item x="10"/>
        <item x="13"/>
        <item x="17"/>
        <item x="19"/>
        <item x="8"/>
        <item x="20"/>
        <item x="5"/>
        <item x="14"/>
        <item x="7"/>
        <item x="6"/>
        <item x="18"/>
        <item t="default"/>
      </items>
    </pivotField>
    <pivotField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axis="axisRow" showAll="0">
      <items count="3">
        <item x="0"/>
        <item x="1"/>
        <item t="default"/>
      </items>
    </pivotField>
    <pivotField dataField="1" showAll="0">
      <items count="3">
        <item x="0"/>
        <item x="1"/>
        <item t="default"/>
      </items>
    </pivotField>
  </pivotFields>
  <rowFields count="1">
    <field x="11"/>
  </rowFields>
  <rowItems count="3">
    <i>
      <x/>
    </i>
    <i>
      <x v="1"/>
    </i>
    <i t="grand">
      <x/>
    </i>
  </rowItems>
  <colItems count="1">
    <i/>
  </colItems>
  <dataFields count="1">
    <dataField name="Count of PAYMENT METHOD" fld="12" subtotal="count"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1" count="1" selected="0">
            <x v="0"/>
          </reference>
        </references>
      </pivotArea>
    </chartFormat>
    <chartFormat chart="16"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835FD-0622-482A-9DC0-4FAA9592FD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L3:M29" firstHeaderRow="1" firstDataRow="1" firstDataCol="1"/>
  <pivotFields count="13">
    <pivotField showAll="0"/>
    <pivotField showAll="0"/>
    <pivotField numFmtId="14" showAll="0"/>
    <pivotField showAll="0"/>
    <pivotField showAll="0">
      <items count="4">
        <item x="0"/>
        <item x="1"/>
        <item x="2"/>
        <item t="default"/>
      </items>
    </pivotField>
    <pivotField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axis="axisRow"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dataField="1" showAll="0">
      <items count="21">
        <item x="2"/>
        <item x="19"/>
        <item x="3"/>
        <item x="15"/>
        <item x="4"/>
        <item x="13"/>
        <item x="5"/>
        <item x="14"/>
        <item x="7"/>
        <item x="0"/>
        <item x="1"/>
        <item x="8"/>
        <item x="16"/>
        <item x="11"/>
        <item x="17"/>
        <item x="18"/>
        <item x="9"/>
        <item x="10"/>
        <item x="12"/>
        <item x="6"/>
        <item t="default"/>
      </items>
    </pivotField>
    <pivotField showAll="0">
      <items count="15">
        <item x="1"/>
        <item x="0"/>
        <item x="2"/>
        <item x="8"/>
        <item x="9"/>
        <item x="3"/>
        <item x="10"/>
        <item x="12"/>
        <item x="5"/>
        <item x="7"/>
        <item x="13"/>
        <item x="6"/>
        <item x="4"/>
        <item x="11"/>
        <item t="default"/>
      </items>
    </pivotField>
    <pivotField showAll="0">
      <items count="24">
        <item x="3"/>
        <item x="2"/>
        <item x="1"/>
        <item x="16"/>
        <item x="0"/>
        <item x="9"/>
        <item x="15"/>
        <item x="11"/>
        <item x="4"/>
        <item x="21"/>
        <item x="22"/>
        <item x="12"/>
        <item x="10"/>
        <item x="13"/>
        <item x="17"/>
        <item x="19"/>
        <item x="8"/>
        <item x="20"/>
        <item x="5"/>
        <item x="14"/>
        <item x="7"/>
        <item x="6"/>
        <item x="18"/>
        <item t="default"/>
      </items>
    </pivotField>
    <pivotField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showAll="0">
      <items count="3">
        <item x="0"/>
        <item x="1"/>
        <item t="default"/>
      </items>
    </pivotField>
    <pivotField showAll="0">
      <items count="3">
        <item x="0"/>
        <item x="1"/>
        <item t="default"/>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QUANTITY" fld="7" baseField="0" baseItem="0"/>
  </dataFields>
  <chartFormats count="3">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F97000-761A-4DAC-BEC9-44942C0024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NAME">
  <location ref="M51:N77" firstHeaderRow="1" firstDataRow="1" firstDataCol="1"/>
  <pivotFields count="13">
    <pivotField showAll="0"/>
    <pivotField showAll="0"/>
    <pivotField numFmtId="14" showAll="0"/>
    <pivotField showAll="0"/>
    <pivotField showAll="0">
      <items count="4">
        <item x="0"/>
        <item x="1"/>
        <item x="2"/>
        <item t="default"/>
      </items>
    </pivotField>
    <pivotField axis="axisRow"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showAll="0">
      <items count="21">
        <item x="2"/>
        <item x="19"/>
        <item x="3"/>
        <item x="15"/>
        <item x="4"/>
        <item x="13"/>
        <item x="5"/>
        <item x="14"/>
        <item x="7"/>
        <item x="0"/>
        <item x="1"/>
        <item x="8"/>
        <item x="16"/>
        <item x="11"/>
        <item x="17"/>
        <item x="18"/>
        <item x="9"/>
        <item x="10"/>
        <item x="12"/>
        <item x="6"/>
        <item t="default"/>
      </items>
    </pivotField>
    <pivotField showAll="0">
      <items count="15">
        <item x="1"/>
        <item x="0"/>
        <item x="2"/>
        <item x="8"/>
        <item x="9"/>
        <item x="3"/>
        <item x="10"/>
        <item x="12"/>
        <item x="5"/>
        <item x="7"/>
        <item x="13"/>
        <item x="6"/>
        <item x="4"/>
        <item x="11"/>
        <item t="default"/>
      </items>
    </pivotField>
    <pivotField showAll="0">
      <items count="24">
        <item x="3"/>
        <item x="2"/>
        <item x="1"/>
        <item x="16"/>
        <item x="0"/>
        <item x="9"/>
        <item x="15"/>
        <item x="11"/>
        <item x="4"/>
        <item x="21"/>
        <item x="22"/>
        <item x="12"/>
        <item x="10"/>
        <item x="13"/>
        <item x="17"/>
        <item x="19"/>
        <item x="8"/>
        <item x="20"/>
        <item x="5"/>
        <item x="14"/>
        <item x="7"/>
        <item x="6"/>
        <item x="18"/>
        <item t="default"/>
      </items>
    </pivotField>
    <pivotField dataField="1"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showAll="0">
      <items count="3">
        <item x="0"/>
        <item x="1"/>
        <item t="default"/>
      </items>
    </pivotField>
    <pivotField showAll="0">
      <items count="3">
        <item x="0"/>
        <item x="1"/>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VERAGE" fld="10" baseField="0" baseItem="0"/>
  </dataFields>
  <chartFormats count="3">
    <chartFormat chart="10"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B000D-2B2D-40BC-98E0-5A05DDF174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AYMENT &amp; PRODUCT">
  <location ref="A46:B97" firstHeaderRow="1" firstDataRow="1" firstDataCol="1"/>
  <pivotFields count="13">
    <pivotField showAll="0"/>
    <pivotField showAll="0"/>
    <pivotField numFmtId="14" showAll="0"/>
    <pivotField showAll="0"/>
    <pivotField showAll="0">
      <items count="4">
        <item x="0"/>
        <item x="1"/>
        <item x="2"/>
        <item t="default"/>
      </items>
    </pivotField>
    <pivotField showAll="0">
      <items count="26">
        <item x="16"/>
        <item x="5"/>
        <item x="22"/>
        <item x="21"/>
        <item x="2"/>
        <item x="1"/>
        <item x="14"/>
        <item x="13"/>
        <item x="11"/>
        <item x="17"/>
        <item x="19"/>
        <item x="12"/>
        <item x="15"/>
        <item x="0"/>
        <item x="18"/>
        <item x="24"/>
        <item x="8"/>
        <item x="3"/>
        <item x="10"/>
        <item x="9"/>
        <item x="20"/>
        <item x="4"/>
        <item x="7"/>
        <item x="23"/>
        <item x="6"/>
        <item t="default"/>
      </items>
    </pivotField>
    <pivotField axis="axisRow" showAll="0">
      <items count="26">
        <item x="0"/>
        <item x="4"/>
        <item x="14"/>
        <item x="8"/>
        <item x="18"/>
        <item x="6"/>
        <item x="11"/>
        <item x="23"/>
        <item x="9"/>
        <item x="19"/>
        <item x="2"/>
        <item x="22"/>
        <item x="1"/>
        <item x="21"/>
        <item x="17"/>
        <item x="7"/>
        <item x="20"/>
        <item x="10"/>
        <item x="13"/>
        <item x="3"/>
        <item x="15"/>
        <item x="12"/>
        <item x="16"/>
        <item x="5"/>
        <item x="24"/>
        <item t="default"/>
      </items>
    </pivotField>
    <pivotField dataField="1" showAll="0">
      <items count="21">
        <item x="2"/>
        <item x="19"/>
        <item x="3"/>
        <item x="15"/>
        <item x="4"/>
        <item x="13"/>
        <item x="5"/>
        <item x="14"/>
        <item x="7"/>
        <item x="0"/>
        <item x="1"/>
        <item x="8"/>
        <item x="16"/>
        <item x="11"/>
        <item x="17"/>
        <item x="18"/>
        <item x="9"/>
        <item x="10"/>
        <item x="12"/>
        <item x="6"/>
        <item t="default"/>
      </items>
    </pivotField>
    <pivotField showAll="0">
      <items count="15">
        <item x="1"/>
        <item x="0"/>
        <item x="2"/>
        <item x="8"/>
        <item x="9"/>
        <item x="3"/>
        <item x="10"/>
        <item x="12"/>
        <item x="5"/>
        <item x="7"/>
        <item x="13"/>
        <item x="6"/>
        <item x="4"/>
        <item x="11"/>
        <item t="default"/>
      </items>
    </pivotField>
    <pivotField showAll="0">
      <items count="24">
        <item x="3"/>
        <item x="2"/>
        <item x="1"/>
        <item x="16"/>
        <item x="0"/>
        <item x="9"/>
        <item x="15"/>
        <item x="11"/>
        <item x="4"/>
        <item x="21"/>
        <item x="22"/>
        <item x="12"/>
        <item x="10"/>
        <item x="13"/>
        <item x="17"/>
        <item x="19"/>
        <item x="8"/>
        <item x="20"/>
        <item x="5"/>
        <item x="14"/>
        <item x="7"/>
        <item x="6"/>
        <item x="18"/>
        <item t="default"/>
      </items>
    </pivotField>
    <pivotField showAll="0">
      <items count="26">
        <item x="0"/>
        <item x="2"/>
        <item x="1"/>
        <item x="22"/>
        <item x="9"/>
        <item x="8"/>
        <item x="10"/>
        <item x="11"/>
        <item x="21"/>
        <item x="15"/>
        <item x="7"/>
        <item x="3"/>
        <item x="20"/>
        <item x="12"/>
        <item x="4"/>
        <item x="13"/>
        <item x="6"/>
        <item x="14"/>
        <item x="16"/>
        <item x="5"/>
        <item x="23"/>
        <item x="17"/>
        <item x="18"/>
        <item x="24"/>
        <item x="19"/>
        <item t="default"/>
      </items>
    </pivotField>
    <pivotField showAll="0">
      <items count="3">
        <item x="0"/>
        <item x="1"/>
        <item t="default"/>
      </items>
    </pivotField>
    <pivotField axis="axisRow" showAll="0">
      <items count="3">
        <item x="0"/>
        <item x="1"/>
        <item t="default"/>
      </items>
    </pivotField>
  </pivotFields>
  <rowFields count="2">
    <field x="6"/>
    <field x="12"/>
  </rowFields>
  <rowItems count="51">
    <i>
      <x/>
    </i>
    <i r="1">
      <x/>
    </i>
    <i>
      <x v="1"/>
    </i>
    <i r="1">
      <x v="1"/>
    </i>
    <i>
      <x v="2"/>
    </i>
    <i r="1">
      <x/>
    </i>
    <i>
      <x v="3"/>
    </i>
    <i r="1">
      <x/>
    </i>
    <i>
      <x v="4"/>
    </i>
    <i r="1">
      <x/>
    </i>
    <i>
      <x v="5"/>
    </i>
    <i r="1">
      <x/>
    </i>
    <i>
      <x v="6"/>
    </i>
    <i r="1">
      <x v="1"/>
    </i>
    <i>
      <x v="7"/>
    </i>
    <i r="1">
      <x/>
    </i>
    <i>
      <x v="8"/>
    </i>
    <i r="1">
      <x v="1"/>
    </i>
    <i>
      <x v="9"/>
    </i>
    <i r="1">
      <x v="1"/>
    </i>
    <i>
      <x v="10"/>
    </i>
    <i r="1">
      <x/>
    </i>
    <i>
      <x v="11"/>
    </i>
    <i r="1">
      <x/>
    </i>
    <i>
      <x v="12"/>
    </i>
    <i r="1">
      <x v="1"/>
    </i>
    <i>
      <x v="13"/>
    </i>
    <i r="1">
      <x v="1"/>
    </i>
    <i>
      <x v="14"/>
    </i>
    <i r="1">
      <x/>
    </i>
    <i>
      <x v="15"/>
    </i>
    <i r="1">
      <x v="1"/>
    </i>
    <i>
      <x v="16"/>
    </i>
    <i r="1">
      <x v="1"/>
    </i>
    <i>
      <x v="17"/>
    </i>
    <i r="1">
      <x/>
    </i>
    <i>
      <x v="18"/>
    </i>
    <i r="1">
      <x v="1"/>
    </i>
    <i>
      <x v="19"/>
    </i>
    <i r="1">
      <x v="1"/>
    </i>
    <i>
      <x v="20"/>
    </i>
    <i r="1">
      <x/>
    </i>
    <i>
      <x v="21"/>
    </i>
    <i r="1">
      <x v="1"/>
    </i>
    <i>
      <x v="22"/>
    </i>
    <i r="1">
      <x/>
    </i>
    <i>
      <x v="23"/>
    </i>
    <i r="1">
      <x v="1"/>
    </i>
    <i>
      <x v="24"/>
    </i>
    <i r="1">
      <x v="1"/>
    </i>
    <i t="grand">
      <x/>
    </i>
  </rowItems>
  <colItems count="1">
    <i/>
  </colItems>
  <dataFields count="1">
    <dataField name="Sum of QUANTITY" fld="7" baseField="0" baseItem="0"/>
  </dataFields>
  <chartFormats count="53">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3">
          <reference field="4294967294" count="1" selected="0">
            <x v="0"/>
          </reference>
          <reference field="6" count="1" selected="0">
            <x v="3"/>
          </reference>
          <reference field="12" count="1" selected="0">
            <x v="0"/>
          </reference>
        </references>
      </pivotArea>
    </chartFormat>
    <chartFormat chart="10" format="2">
      <pivotArea type="data" outline="0" fieldPosition="0">
        <references count="3">
          <reference field="4294967294" count="1" selected="0">
            <x v="0"/>
          </reference>
          <reference field="6" count="1" selected="0">
            <x v="4"/>
          </reference>
          <reference field="12" count="1" selected="0">
            <x v="0"/>
          </reference>
        </references>
      </pivotArea>
    </chartFormat>
    <chartFormat chart="10" format="3">
      <pivotArea type="data" outline="0" fieldPosition="0">
        <references count="3">
          <reference field="4294967294" count="1" selected="0">
            <x v="0"/>
          </reference>
          <reference field="6" count="1" selected="0">
            <x v="5"/>
          </reference>
          <reference field="12" count="1" selected="0">
            <x v="0"/>
          </reference>
        </references>
      </pivotArea>
    </chartFormat>
    <chartFormat chart="10" format="4">
      <pivotArea type="data" outline="0" fieldPosition="0">
        <references count="3">
          <reference field="4294967294" count="1" selected="0">
            <x v="0"/>
          </reference>
          <reference field="6" count="1" selected="0">
            <x v="7"/>
          </reference>
          <reference field="12" count="1" selected="0">
            <x v="0"/>
          </reference>
        </references>
      </pivotArea>
    </chartFormat>
    <chartFormat chart="10" format="5">
      <pivotArea type="data" outline="0" fieldPosition="0">
        <references count="3">
          <reference field="4294967294" count="1" selected="0">
            <x v="0"/>
          </reference>
          <reference field="6" count="1" selected="0">
            <x v="6"/>
          </reference>
          <reference field="12" count="1" selected="0">
            <x v="1"/>
          </reference>
        </references>
      </pivotArea>
    </chartFormat>
    <chartFormat chart="10" format="6">
      <pivotArea type="data" outline="0" fieldPosition="0">
        <references count="3">
          <reference field="4294967294" count="1" selected="0">
            <x v="0"/>
          </reference>
          <reference field="6" count="1" selected="0">
            <x v="8"/>
          </reference>
          <reference field="12" count="1" selected="0">
            <x v="1"/>
          </reference>
        </references>
      </pivotArea>
    </chartFormat>
    <chartFormat chart="10" format="7">
      <pivotArea type="data" outline="0" fieldPosition="0">
        <references count="3">
          <reference field="4294967294" count="1" selected="0">
            <x v="0"/>
          </reference>
          <reference field="6" count="1" selected="0">
            <x v="10"/>
          </reference>
          <reference field="12" count="1" selected="0">
            <x v="0"/>
          </reference>
        </references>
      </pivotArea>
    </chartFormat>
    <chartFormat chart="10" format="8">
      <pivotArea type="data" outline="0" fieldPosition="0">
        <references count="3">
          <reference field="4294967294" count="1" selected="0">
            <x v="0"/>
          </reference>
          <reference field="6" count="1" selected="0">
            <x v="9"/>
          </reference>
          <reference field="12" count="1" selected="0">
            <x v="1"/>
          </reference>
        </references>
      </pivotArea>
    </chartFormat>
    <chartFormat chart="10" format="9">
      <pivotArea type="data" outline="0" fieldPosition="0">
        <references count="3">
          <reference field="4294967294" count="1" selected="0">
            <x v="0"/>
          </reference>
          <reference field="6" count="1" selected="0">
            <x v="12"/>
          </reference>
          <reference field="12" count="1" selected="0">
            <x v="1"/>
          </reference>
        </references>
      </pivotArea>
    </chartFormat>
    <chartFormat chart="10" format="10">
      <pivotArea type="data" outline="0" fieldPosition="0">
        <references count="3">
          <reference field="4294967294" count="1" selected="0">
            <x v="0"/>
          </reference>
          <reference field="6" count="1" selected="0">
            <x v="11"/>
          </reference>
          <reference field="12" count="1" selected="0">
            <x v="0"/>
          </reference>
        </references>
      </pivotArea>
    </chartFormat>
    <chartFormat chart="10" format="11">
      <pivotArea type="data" outline="0" fieldPosition="0">
        <references count="3">
          <reference field="4294967294" count="1" selected="0">
            <x v="0"/>
          </reference>
          <reference field="6" count="1" selected="0">
            <x v="13"/>
          </reference>
          <reference field="12" count="1" selected="0">
            <x v="1"/>
          </reference>
        </references>
      </pivotArea>
    </chartFormat>
    <chartFormat chart="10" format="12">
      <pivotArea type="data" outline="0" fieldPosition="0">
        <references count="3">
          <reference field="4294967294" count="1" selected="0">
            <x v="0"/>
          </reference>
          <reference field="6" count="1" selected="0">
            <x v="15"/>
          </reference>
          <reference field="12" count="1" selected="0">
            <x v="1"/>
          </reference>
        </references>
      </pivotArea>
    </chartFormat>
    <chartFormat chart="10" format="13">
      <pivotArea type="data" outline="0" fieldPosition="0">
        <references count="3">
          <reference field="4294967294" count="1" selected="0">
            <x v="0"/>
          </reference>
          <reference field="6" count="1" selected="0">
            <x v="14"/>
          </reference>
          <reference field="12" count="1" selected="0">
            <x v="0"/>
          </reference>
        </references>
      </pivotArea>
    </chartFormat>
    <chartFormat chart="10" format="14">
      <pivotArea type="data" outline="0" fieldPosition="0">
        <references count="3">
          <reference field="4294967294" count="1" selected="0">
            <x v="0"/>
          </reference>
          <reference field="6" count="1" selected="0">
            <x v="16"/>
          </reference>
          <reference field="12" count="1" selected="0">
            <x v="1"/>
          </reference>
        </references>
      </pivotArea>
    </chartFormat>
    <chartFormat chart="10" format="15">
      <pivotArea type="data" outline="0" fieldPosition="0">
        <references count="3">
          <reference field="4294967294" count="1" selected="0">
            <x v="0"/>
          </reference>
          <reference field="6" count="1" selected="0">
            <x v="17"/>
          </reference>
          <reference field="12" count="1" selected="0">
            <x v="0"/>
          </reference>
        </references>
      </pivotArea>
    </chartFormat>
    <chartFormat chart="10" format="16">
      <pivotArea type="data" outline="0" fieldPosition="0">
        <references count="3">
          <reference field="4294967294" count="1" selected="0">
            <x v="0"/>
          </reference>
          <reference field="6" count="1" selected="0">
            <x v="19"/>
          </reference>
          <reference field="12" count="1" selected="0">
            <x v="1"/>
          </reference>
        </references>
      </pivotArea>
    </chartFormat>
    <chartFormat chart="10" format="17">
      <pivotArea type="data" outline="0" fieldPosition="0">
        <references count="3">
          <reference field="4294967294" count="1" selected="0">
            <x v="0"/>
          </reference>
          <reference field="6" count="1" selected="0">
            <x v="18"/>
          </reference>
          <reference field="12" count="1" selected="0">
            <x v="1"/>
          </reference>
        </references>
      </pivotArea>
    </chartFormat>
    <chartFormat chart="10" format="18">
      <pivotArea type="data" outline="0" fieldPosition="0">
        <references count="3">
          <reference field="4294967294" count="1" selected="0">
            <x v="0"/>
          </reference>
          <reference field="6" count="1" selected="0">
            <x v="20"/>
          </reference>
          <reference field="12" count="1" selected="0">
            <x v="0"/>
          </reference>
        </references>
      </pivotArea>
    </chartFormat>
    <chartFormat chart="10" format="19">
      <pivotArea type="data" outline="0" fieldPosition="0">
        <references count="3">
          <reference field="4294967294" count="1" selected="0">
            <x v="0"/>
          </reference>
          <reference field="6" count="1" selected="0">
            <x v="21"/>
          </reference>
          <reference field="12" count="1" selected="0">
            <x v="1"/>
          </reference>
        </references>
      </pivotArea>
    </chartFormat>
    <chartFormat chart="10" format="20">
      <pivotArea type="data" outline="0" fieldPosition="0">
        <references count="3">
          <reference field="4294967294" count="1" selected="0">
            <x v="0"/>
          </reference>
          <reference field="6" count="1" selected="0">
            <x v="22"/>
          </reference>
          <reference field="12" count="1" selected="0">
            <x v="0"/>
          </reference>
        </references>
      </pivotArea>
    </chartFormat>
    <chartFormat chart="10" format="21">
      <pivotArea type="data" outline="0" fieldPosition="0">
        <references count="3">
          <reference field="4294967294" count="1" selected="0">
            <x v="0"/>
          </reference>
          <reference field="6" count="1" selected="0">
            <x v="24"/>
          </reference>
          <reference field="12" count="1" selected="0">
            <x v="1"/>
          </reference>
        </references>
      </pivotArea>
    </chartFormat>
    <chartFormat chart="10" format="22">
      <pivotArea type="data" outline="0" fieldPosition="0">
        <references count="3">
          <reference field="4294967294" count="1" selected="0">
            <x v="0"/>
          </reference>
          <reference field="6" count="1" selected="0">
            <x v="23"/>
          </reference>
          <reference field="12" count="1" selected="0">
            <x v="1"/>
          </reference>
        </references>
      </pivotArea>
    </chartFormat>
    <chartFormat chart="10" format="23">
      <pivotArea type="data" outline="0" fieldPosition="0">
        <references count="3">
          <reference field="4294967294" count="1" selected="0">
            <x v="0"/>
          </reference>
          <reference field="6" count="1" selected="0">
            <x v="0"/>
          </reference>
          <reference field="12" count="1" selected="0">
            <x v="0"/>
          </reference>
        </references>
      </pivotArea>
    </chartFormat>
    <chartFormat chart="10" format="24">
      <pivotArea type="data" outline="0" fieldPosition="0">
        <references count="3">
          <reference field="4294967294" count="1" selected="0">
            <x v="0"/>
          </reference>
          <reference field="6" count="1" selected="0">
            <x v="1"/>
          </reference>
          <reference field="12" count="1" selected="0">
            <x v="1"/>
          </reference>
        </references>
      </pivotArea>
    </chartFormat>
    <chartFormat chart="10" format="25">
      <pivotArea type="data" outline="0" fieldPosition="0">
        <references count="3">
          <reference field="4294967294" count="1" selected="0">
            <x v="0"/>
          </reference>
          <reference field="6" count="1" selected="0">
            <x v="2"/>
          </reference>
          <reference field="12" count="1" selected="0">
            <x v="0"/>
          </reference>
        </references>
      </pivotArea>
    </chartFormat>
    <chartFormat chart="15" format="52" series="1">
      <pivotArea type="data" outline="0" fieldPosition="0">
        <references count="1">
          <reference field="4294967294" count="1" selected="0">
            <x v="0"/>
          </reference>
        </references>
      </pivotArea>
    </chartFormat>
    <chartFormat chart="15" format="53">
      <pivotArea type="data" outline="0" fieldPosition="0">
        <references count="3">
          <reference field="4294967294" count="1" selected="0">
            <x v="0"/>
          </reference>
          <reference field="6" count="1" selected="0">
            <x v="0"/>
          </reference>
          <reference field="12" count="1" selected="0">
            <x v="0"/>
          </reference>
        </references>
      </pivotArea>
    </chartFormat>
    <chartFormat chart="15" format="54">
      <pivotArea type="data" outline="0" fieldPosition="0">
        <references count="3">
          <reference field="4294967294" count="1" selected="0">
            <x v="0"/>
          </reference>
          <reference field="6" count="1" selected="0">
            <x v="1"/>
          </reference>
          <reference field="12" count="1" selected="0">
            <x v="1"/>
          </reference>
        </references>
      </pivotArea>
    </chartFormat>
    <chartFormat chart="15" format="55">
      <pivotArea type="data" outline="0" fieldPosition="0">
        <references count="3">
          <reference field="4294967294" count="1" selected="0">
            <x v="0"/>
          </reference>
          <reference field="6" count="1" selected="0">
            <x v="2"/>
          </reference>
          <reference field="12" count="1" selected="0">
            <x v="0"/>
          </reference>
        </references>
      </pivotArea>
    </chartFormat>
    <chartFormat chart="15" format="56">
      <pivotArea type="data" outline="0" fieldPosition="0">
        <references count="3">
          <reference field="4294967294" count="1" selected="0">
            <x v="0"/>
          </reference>
          <reference field="6" count="1" selected="0">
            <x v="3"/>
          </reference>
          <reference field="12" count="1" selected="0">
            <x v="0"/>
          </reference>
        </references>
      </pivotArea>
    </chartFormat>
    <chartFormat chart="15" format="57">
      <pivotArea type="data" outline="0" fieldPosition="0">
        <references count="3">
          <reference field="4294967294" count="1" selected="0">
            <x v="0"/>
          </reference>
          <reference field="6" count="1" selected="0">
            <x v="4"/>
          </reference>
          <reference field="12" count="1" selected="0">
            <x v="0"/>
          </reference>
        </references>
      </pivotArea>
    </chartFormat>
    <chartFormat chart="15" format="58">
      <pivotArea type="data" outline="0" fieldPosition="0">
        <references count="3">
          <reference field="4294967294" count="1" selected="0">
            <x v="0"/>
          </reference>
          <reference field="6" count="1" selected="0">
            <x v="5"/>
          </reference>
          <reference field="12" count="1" selected="0">
            <x v="0"/>
          </reference>
        </references>
      </pivotArea>
    </chartFormat>
    <chartFormat chart="15" format="59">
      <pivotArea type="data" outline="0" fieldPosition="0">
        <references count="3">
          <reference field="4294967294" count="1" selected="0">
            <x v="0"/>
          </reference>
          <reference field="6" count="1" selected="0">
            <x v="6"/>
          </reference>
          <reference field="12" count="1" selected="0">
            <x v="1"/>
          </reference>
        </references>
      </pivotArea>
    </chartFormat>
    <chartFormat chart="15" format="60">
      <pivotArea type="data" outline="0" fieldPosition="0">
        <references count="3">
          <reference field="4294967294" count="1" selected="0">
            <x v="0"/>
          </reference>
          <reference field="6" count="1" selected="0">
            <x v="7"/>
          </reference>
          <reference field="12" count="1" selected="0">
            <x v="0"/>
          </reference>
        </references>
      </pivotArea>
    </chartFormat>
    <chartFormat chart="15" format="61">
      <pivotArea type="data" outline="0" fieldPosition="0">
        <references count="3">
          <reference field="4294967294" count="1" selected="0">
            <x v="0"/>
          </reference>
          <reference field="6" count="1" selected="0">
            <x v="8"/>
          </reference>
          <reference field="12" count="1" selected="0">
            <x v="1"/>
          </reference>
        </references>
      </pivotArea>
    </chartFormat>
    <chartFormat chart="15" format="62">
      <pivotArea type="data" outline="0" fieldPosition="0">
        <references count="3">
          <reference field="4294967294" count="1" selected="0">
            <x v="0"/>
          </reference>
          <reference field="6" count="1" selected="0">
            <x v="9"/>
          </reference>
          <reference field="12" count="1" selected="0">
            <x v="1"/>
          </reference>
        </references>
      </pivotArea>
    </chartFormat>
    <chartFormat chart="15" format="63">
      <pivotArea type="data" outline="0" fieldPosition="0">
        <references count="3">
          <reference field="4294967294" count="1" selected="0">
            <x v="0"/>
          </reference>
          <reference field="6" count="1" selected="0">
            <x v="10"/>
          </reference>
          <reference field="12" count="1" selected="0">
            <x v="0"/>
          </reference>
        </references>
      </pivotArea>
    </chartFormat>
    <chartFormat chart="15" format="64">
      <pivotArea type="data" outline="0" fieldPosition="0">
        <references count="3">
          <reference field="4294967294" count="1" selected="0">
            <x v="0"/>
          </reference>
          <reference field="6" count="1" selected="0">
            <x v="11"/>
          </reference>
          <reference field="12" count="1" selected="0">
            <x v="0"/>
          </reference>
        </references>
      </pivotArea>
    </chartFormat>
    <chartFormat chart="15" format="65">
      <pivotArea type="data" outline="0" fieldPosition="0">
        <references count="3">
          <reference field="4294967294" count="1" selected="0">
            <x v="0"/>
          </reference>
          <reference field="6" count="1" selected="0">
            <x v="12"/>
          </reference>
          <reference field="12" count="1" selected="0">
            <x v="1"/>
          </reference>
        </references>
      </pivotArea>
    </chartFormat>
    <chartFormat chart="15" format="66">
      <pivotArea type="data" outline="0" fieldPosition="0">
        <references count="3">
          <reference field="4294967294" count="1" selected="0">
            <x v="0"/>
          </reference>
          <reference field="6" count="1" selected="0">
            <x v="13"/>
          </reference>
          <reference field="12" count="1" selected="0">
            <x v="1"/>
          </reference>
        </references>
      </pivotArea>
    </chartFormat>
    <chartFormat chart="15" format="67">
      <pivotArea type="data" outline="0" fieldPosition="0">
        <references count="3">
          <reference field="4294967294" count="1" selected="0">
            <x v="0"/>
          </reference>
          <reference field="6" count="1" selected="0">
            <x v="14"/>
          </reference>
          <reference field="12" count="1" selected="0">
            <x v="0"/>
          </reference>
        </references>
      </pivotArea>
    </chartFormat>
    <chartFormat chart="15" format="68">
      <pivotArea type="data" outline="0" fieldPosition="0">
        <references count="3">
          <reference field="4294967294" count="1" selected="0">
            <x v="0"/>
          </reference>
          <reference field="6" count="1" selected="0">
            <x v="15"/>
          </reference>
          <reference field="12" count="1" selected="0">
            <x v="1"/>
          </reference>
        </references>
      </pivotArea>
    </chartFormat>
    <chartFormat chart="15" format="69">
      <pivotArea type="data" outline="0" fieldPosition="0">
        <references count="3">
          <reference field="4294967294" count="1" selected="0">
            <x v="0"/>
          </reference>
          <reference field="6" count="1" selected="0">
            <x v="16"/>
          </reference>
          <reference field="12" count="1" selected="0">
            <x v="1"/>
          </reference>
        </references>
      </pivotArea>
    </chartFormat>
    <chartFormat chart="15" format="70">
      <pivotArea type="data" outline="0" fieldPosition="0">
        <references count="3">
          <reference field="4294967294" count="1" selected="0">
            <x v="0"/>
          </reference>
          <reference field="6" count="1" selected="0">
            <x v="17"/>
          </reference>
          <reference field="12" count="1" selected="0">
            <x v="0"/>
          </reference>
        </references>
      </pivotArea>
    </chartFormat>
    <chartFormat chart="15" format="71">
      <pivotArea type="data" outline="0" fieldPosition="0">
        <references count="3">
          <reference field="4294967294" count="1" selected="0">
            <x v="0"/>
          </reference>
          <reference field="6" count="1" selected="0">
            <x v="18"/>
          </reference>
          <reference field="12" count="1" selected="0">
            <x v="1"/>
          </reference>
        </references>
      </pivotArea>
    </chartFormat>
    <chartFormat chart="15" format="72">
      <pivotArea type="data" outline="0" fieldPosition="0">
        <references count="3">
          <reference field="4294967294" count="1" selected="0">
            <x v="0"/>
          </reference>
          <reference field="6" count="1" selected="0">
            <x v="19"/>
          </reference>
          <reference field="12" count="1" selected="0">
            <x v="1"/>
          </reference>
        </references>
      </pivotArea>
    </chartFormat>
    <chartFormat chart="15" format="73">
      <pivotArea type="data" outline="0" fieldPosition="0">
        <references count="3">
          <reference field="4294967294" count="1" selected="0">
            <x v="0"/>
          </reference>
          <reference field="6" count="1" selected="0">
            <x v="20"/>
          </reference>
          <reference field="12" count="1" selected="0">
            <x v="0"/>
          </reference>
        </references>
      </pivotArea>
    </chartFormat>
    <chartFormat chart="15" format="74">
      <pivotArea type="data" outline="0" fieldPosition="0">
        <references count="3">
          <reference field="4294967294" count="1" selected="0">
            <x v="0"/>
          </reference>
          <reference field="6" count="1" selected="0">
            <x v="21"/>
          </reference>
          <reference field="12" count="1" selected="0">
            <x v="1"/>
          </reference>
        </references>
      </pivotArea>
    </chartFormat>
    <chartFormat chart="15" format="75">
      <pivotArea type="data" outline="0" fieldPosition="0">
        <references count="3">
          <reference field="4294967294" count="1" selected="0">
            <x v="0"/>
          </reference>
          <reference field="6" count="1" selected="0">
            <x v="22"/>
          </reference>
          <reference field="12" count="1" selected="0">
            <x v="0"/>
          </reference>
        </references>
      </pivotArea>
    </chartFormat>
    <chartFormat chart="15" format="76">
      <pivotArea type="data" outline="0" fieldPosition="0">
        <references count="3">
          <reference field="4294967294" count="1" selected="0">
            <x v="0"/>
          </reference>
          <reference field="6" count="1" selected="0">
            <x v="23"/>
          </reference>
          <reference field="12" count="1" selected="0">
            <x v="1"/>
          </reference>
        </references>
      </pivotArea>
    </chartFormat>
    <chartFormat chart="15" format="77">
      <pivotArea type="data" outline="0" fieldPosition="0">
        <references count="3">
          <reference field="4294967294" count="1" selected="0">
            <x v="0"/>
          </reference>
          <reference field="6" count="1" selected="0">
            <x v="24"/>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888584F-CF84-40DB-BD94-B06EED223657}" sourceName="BRANCH">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787B1304-BAE0-4944-B668-B2988C225EF1}" sourceName="CUSTOMER NAME">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5">
        <i x="16" s="1"/>
        <i x="5" s="1"/>
        <i x="22" s="1"/>
        <i x="21" s="1"/>
        <i x="2" s="1"/>
        <i x="1" s="1"/>
        <i x="14" s="1"/>
        <i x="13" s="1"/>
        <i x="11" s="1"/>
        <i x="17" s="1"/>
        <i x="19" s="1"/>
        <i x="12" s="1"/>
        <i x="15" s="1"/>
        <i x="0" s="1"/>
        <i x="18" s="1"/>
        <i x="24" s="1"/>
        <i x="8" s="1"/>
        <i x="3" s="1"/>
        <i x="10" s="1"/>
        <i x="9" s="1"/>
        <i x="20" s="1"/>
        <i x="4" s="1"/>
        <i x="7" s="1"/>
        <i x="2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C0B3E57-1D74-4C18-B09A-8F880D395831}" sourceName="PRODUCT">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5">
        <i x="0" s="1"/>
        <i x="4" s="1"/>
        <i x="14" s="1"/>
        <i x="8" s="1"/>
        <i x="18" s="1"/>
        <i x="6" s="1"/>
        <i x="11" s="1"/>
        <i x="23" s="1"/>
        <i x="9" s="1"/>
        <i x="19" s="1"/>
        <i x="2" s="1"/>
        <i x="22" s="1"/>
        <i x="1" s="1"/>
        <i x="21" s="1"/>
        <i x="17" s="1"/>
        <i x="7" s="1"/>
        <i x="20" s="1"/>
        <i x="10" s="1"/>
        <i x="13" s="1"/>
        <i x="3" s="1"/>
        <i x="15" s="1"/>
        <i x="12" s="1"/>
        <i x="16" s="1"/>
        <i x="5" s="1"/>
        <i x="2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1" xr10:uid="{57183DC8-7296-4179-BCB4-A0990E46D0C8}" sourceName="QUANTITY">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0">
        <i x="2" s="1"/>
        <i x="19" s="1"/>
        <i x="3" s="1"/>
        <i x="15" s="1"/>
        <i x="4" s="1"/>
        <i x="13" s="1"/>
        <i x="5" s="1"/>
        <i x="14" s="1"/>
        <i x="7" s="1"/>
        <i x="0" s="1"/>
        <i x="1" s="1"/>
        <i x="8" s="1"/>
        <i x="16" s="1"/>
        <i x="11" s="1"/>
        <i x="17" s="1"/>
        <i x="18" s="1"/>
        <i x="9" s="1"/>
        <i x="10" s="1"/>
        <i x="1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1" xr10:uid="{9E8FD6C5-FE68-4D94-977A-8D10E1780EF6}" sourceName="UNIT PRICE">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14">
        <i x="1" s="1"/>
        <i x="0" s="1"/>
        <i x="2" s="1"/>
        <i x="8" s="1"/>
        <i x="9" s="1"/>
        <i x="3" s="1"/>
        <i x="10" s="1"/>
        <i x="12" s="1"/>
        <i x="5" s="1"/>
        <i x="7" s="1"/>
        <i x="13" s="1"/>
        <i x="6" s="1"/>
        <i x="4"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1" xr10:uid="{6EBCD0C4-D07B-40DD-8673-92764562CC2D}" sourceName="TOTAL">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3">
        <i x="3" s="1"/>
        <i x="2" s="1"/>
        <i x="1" s="1"/>
        <i x="16" s="1"/>
        <i x="0" s="1"/>
        <i x="9" s="1"/>
        <i x="15" s="1"/>
        <i x="11" s="1"/>
        <i x="4" s="1"/>
        <i x="21" s="1"/>
        <i x="22" s="1"/>
        <i x="12" s="1"/>
        <i x="10" s="1"/>
        <i x="13" s="1"/>
        <i x="17" s="1"/>
        <i x="19" s="1"/>
        <i x="8" s="1"/>
        <i x="20" s="1"/>
        <i x="5" s="1"/>
        <i x="14" s="1"/>
        <i x="7" s="1"/>
        <i x="6" s="1"/>
        <i x="1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1" xr10:uid="{858C5A0B-BA91-4ED7-A8F3-2531ACBEB7A7}" sourceName="AVERAGE">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5">
        <i x="0" s="1"/>
        <i x="2" s="1"/>
        <i x="1" s="1"/>
        <i x="22" s="1"/>
        <i x="9" s="1"/>
        <i x="8" s="1"/>
        <i x="10" s="1"/>
        <i x="11" s="1"/>
        <i x="21" s="1"/>
        <i x="15" s="1"/>
        <i x="7" s="1"/>
        <i x="3" s="1"/>
        <i x="20" s="1"/>
        <i x="12" s="1"/>
        <i x="4" s="1"/>
        <i x="13" s="1"/>
        <i x="6" s="1"/>
        <i x="14" s="1"/>
        <i x="16" s="1"/>
        <i x="5" s="1"/>
        <i x="23" s="1"/>
        <i x="17" s="1"/>
        <i x="18" s="1"/>
        <i x="24" s="1"/>
        <i x="1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588592B9-8127-44BD-9100-8369489B0DFC}" sourceName="CUSTOMER TYPE">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EC757F22-7788-4ECB-BF35-AC0975D1C35D}" sourceName="PAYMENT METHOD">
  <pivotTables>
    <pivotTable tabId="16" name="PivotTable2"/>
    <pivotTable tabId="16" name="PivotTable10"/>
    <pivotTable tabId="16" name="PivotTable3"/>
    <pivotTable tabId="16" name="PivotTable4"/>
    <pivotTable tabId="16" name="PivotTable5"/>
    <pivotTable tabId="16" name="PivotTable7"/>
  </pivotTables>
  <data>
    <tabular pivotCacheId="19666064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3" xr10:uid="{10F5F11F-E755-432C-BCFE-59C86ADA4D42}" cache="Slicer_CUSTOMER_NAME1" caption="CUSTOMER NAME" startItem="15" style="SlicerStyleDark6" rowHeight="241300"/>
  <slicer name="PRODUCT 3" xr10:uid="{61FEDBC6-A0FB-44E3-AA8A-A8AD231DF917}" cache="Slicer_PRODUCT1" caption="PRODUCT" style="SlicerStyleDark6" rowHeight="241300"/>
  <slicer name="QUANTITY 3" xr10:uid="{FEB7E915-0AC1-4470-B804-A892DDCE9723}" cache="Slicer_QUANTITY1" caption="QUANTITY" style="SlicerStyleDark6" rowHeight="241300"/>
  <slicer name="UNIT PRICE 3" xr10:uid="{5150AB6F-6FFA-48F4-981B-085231FE4C3A}" cache="Slicer_UNIT_PRICE1" caption="UNIT PRICE" style="SlicerStyleDark6" rowHeight="241300"/>
  <slicer name="AVERAGE 2" xr10:uid="{8A86E5DD-12B0-4115-A72A-EF572167D22C}" cache="Slicer_AVERAGE1" caption="AVERAGE" style="SlicerStyleDark6" rowHeight="241300"/>
  <slicer name="CUSTOMER TYPE 3" xr10:uid="{139DAF4E-C3D6-43A2-A706-950F94AFEF97}" cache="Slicer_CUSTOMER_TYPE1" caption="CUSTOMER TYPE" style="SlicerStyleDark6" rowHeight="241300"/>
  <slicer name="PAYMENT METHOD 3" xr10:uid="{2ADAA582-AC5F-4252-B10F-E6E170565662}" cache="Slicer_PAYMENT_METHOD1" caption="PAYMENT METHOD"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8C276A65-013A-4732-8C75-087B324D80EA}" cache="Slicer_BRANCH1" caption="BRANCH" rowHeight="241300"/>
  <slicer name="CUSTOMER NAME 2" xr10:uid="{DE46E74E-A4CA-42CF-A0CB-3D62A1F98BF1}" cache="Slicer_CUSTOMER_NAME1" caption="CUSTOMER NAME" startItem="15" rowHeight="241300"/>
  <slicer name="PRODUCT 2" xr10:uid="{857CB9DE-5E65-4102-8D7C-38C53A62AF63}" cache="Slicer_PRODUCT1" caption="PRODUCT" rowHeight="241300"/>
  <slicer name="QUANTITY 2" xr10:uid="{3DD14A58-140A-48BE-B6D2-3D3BA6F9547E}" cache="Slicer_QUANTITY1" caption="QUANTITY" rowHeight="241300"/>
  <slicer name="UNIT PRICE 2" xr10:uid="{462E91EC-3814-4A2F-9ABC-B3393EB687B6}" cache="Slicer_UNIT_PRICE1" caption="UNIT PRICE" rowHeight="241300"/>
  <slicer name="TOTAL 1" xr10:uid="{E677C5EE-E730-421E-922F-CA10488A6834}" cache="Slicer_TOTAL1" caption="TOTAL" rowHeight="241300"/>
  <slicer name="AVERAGE" xr10:uid="{9F2E0B4A-F86A-4DBC-92DE-38C29799196C}" cache="Slicer_AVERAGE1" caption="AVERAGE" rowHeight="241300"/>
  <slicer name="CUSTOMER TYPE 2" xr10:uid="{BE1B44E8-892A-4FFA-9132-B6964D683DF0}" cache="Slicer_CUSTOMER_TYPE1" caption="CUSTOMER TYPE" rowHeight="241300"/>
  <slicer name="PAYMENT METHOD 2" xr10:uid="{ED4E5B8A-9423-4B83-9CFE-7A6584847DC8}" cache="Slicer_PAYMENT_METHOD1"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8DEDEF-19B3-4ECC-BB72-86FED4DC0EC5}" name="Table2" displayName="Table2" ref="A1:M26" totalsRowShown="0" headerRowDxfId="14" dataDxfId="13">
  <autoFilter ref="A1:M26" xr:uid="{018DEDEF-19B3-4ECC-BB72-86FED4DC0EC5}"/>
  <tableColumns count="13">
    <tableColumn id="1" xr3:uid="{2243C4CD-1B45-44C6-AE3C-0BD75F477D97}" name="S.NO" dataDxfId="12"/>
    <tableColumn id="2" xr3:uid="{3F7DE781-1165-42C9-B755-9074A5FC1A7D}" name="INVOICE ID" dataDxfId="11"/>
    <tableColumn id="3" xr3:uid="{90E51908-899D-4195-B28D-A1C14A11CC70}" name="ORDER DATE" dataDxfId="10"/>
    <tableColumn id="4" xr3:uid="{C1A0A3C9-847E-434A-8FC1-17408A1271E3}" name="ORDER TIME" dataDxfId="9"/>
    <tableColumn id="5" xr3:uid="{577B7054-6691-4C64-B4B6-F742BB8F09E4}" name="BRANCH" dataDxfId="8"/>
    <tableColumn id="6" xr3:uid="{CB09D1D5-E4B1-4235-B64B-537939478C0D}" name="CUSTOMER NAME" dataDxfId="7"/>
    <tableColumn id="7" xr3:uid="{08502DAF-744C-490A-945E-C601043C54AE}" name="PRODUCT" dataDxfId="6"/>
    <tableColumn id="8" xr3:uid="{EEBF9A8B-B1D2-4664-BC46-F9FBA17524FA}" name="QUANTITY" dataDxfId="5"/>
    <tableColumn id="9" xr3:uid="{F7275F00-4E69-4712-B7D9-E59A099566AE}" name="UNIT PRICE" dataDxfId="4"/>
    <tableColumn id="10" xr3:uid="{3E6C7DFF-D520-4F68-8710-D8E3207B7AAB}" name="TOTAL" dataDxfId="3">
      <calculatedColumnFormula>SUM(H2*I2)</calculatedColumnFormula>
    </tableColumn>
    <tableColumn id="11" xr3:uid="{4FEA1CFC-E629-48DE-BF43-0257AD47EC72}" name="AVERAGE" dataDxfId="2">
      <calculatedColumnFormula>ROUND(AVERAGE(J2:J26),0)</calculatedColumnFormula>
    </tableColumn>
    <tableColumn id="12" xr3:uid="{22AA5B12-F870-42CB-9A53-0A635ECA1011}" name="CUSTOMER TYPE" dataDxfId="1"/>
    <tableColumn id="13" xr3:uid="{9E619D3D-CF29-40E1-909F-CB31F693786D}" name="PAYMENT METHOD"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305C-4AB7-4427-B706-B97A66C869AE}">
  <dimension ref="A1"/>
  <sheetViews>
    <sheetView showGridLines="0" tabSelected="1" topLeftCell="C1" zoomScale="80" zoomScaleNormal="80" workbookViewId="0">
      <selection activeCell="J51" sqref="J5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3A7B-215E-4CFC-A788-89E16836E985}">
  <dimension ref="A1:T67"/>
  <sheetViews>
    <sheetView zoomScale="44" workbookViewId="0">
      <selection activeCell="N15" sqref="N15"/>
    </sheetView>
  </sheetViews>
  <sheetFormatPr defaultRowHeight="15" x14ac:dyDescent="0.25"/>
  <cols>
    <col min="1" max="1" width="9.85546875" style="1" customWidth="1"/>
    <col min="2" max="2" width="26.42578125" style="1" customWidth="1"/>
    <col min="3" max="3" width="20.42578125" style="1" customWidth="1"/>
    <col min="4" max="4" width="19.85546875" style="1" customWidth="1"/>
    <col min="5" max="5" width="14.5703125" style="1" customWidth="1"/>
    <col min="6" max="6" width="26.7109375" style="1" customWidth="1"/>
    <col min="7" max="7" width="20.85546875" style="1" customWidth="1"/>
    <col min="8" max="8" width="17" style="1" customWidth="1"/>
    <col min="9" max="9" width="18.28515625" style="1" customWidth="1"/>
    <col min="10" max="10" width="11.85546875" style="1" customWidth="1"/>
    <col min="11" max="11" width="16.140625" style="1" customWidth="1"/>
    <col min="12" max="12" width="25.7109375" style="1" customWidth="1"/>
    <col min="13" max="13" width="28" style="1" customWidth="1"/>
    <col min="14" max="16384" width="9.140625" style="1"/>
  </cols>
  <sheetData>
    <row r="1" spans="1:13" x14ac:dyDescent="0.25">
      <c r="A1" s="1" t="s">
        <v>7</v>
      </c>
      <c r="B1" s="1" t="s">
        <v>0</v>
      </c>
      <c r="C1" s="1" t="s">
        <v>9</v>
      </c>
      <c r="D1" s="1" t="s">
        <v>10</v>
      </c>
      <c r="E1" s="1" t="s">
        <v>8</v>
      </c>
      <c r="F1" s="1" t="s">
        <v>1</v>
      </c>
      <c r="G1" s="1" t="s">
        <v>2</v>
      </c>
      <c r="H1" s="1" t="s">
        <v>3</v>
      </c>
      <c r="I1" s="1" t="s">
        <v>4</v>
      </c>
      <c r="J1" s="1" t="s">
        <v>5</v>
      </c>
      <c r="K1" s="1" t="s">
        <v>94</v>
      </c>
      <c r="L1" s="1" t="s">
        <v>6</v>
      </c>
      <c r="M1" s="1" t="s">
        <v>70</v>
      </c>
    </row>
    <row r="2" spans="1:13" x14ac:dyDescent="0.25">
      <c r="A2" s="1">
        <v>1</v>
      </c>
      <c r="B2" s="1">
        <v>543201</v>
      </c>
      <c r="C2" s="2">
        <v>45860</v>
      </c>
      <c r="D2" s="1" t="s">
        <v>11</v>
      </c>
      <c r="E2" s="1" t="s">
        <v>24</v>
      </c>
      <c r="F2" s="1" t="s">
        <v>27</v>
      </c>
      <c r="G2" s="1" t="s">
        <v>52</v>
      </c>
      <c r="H2" s="1">
        <v>430</v>
      </c>
      <c r="I2" s="1">
        <v>10</v>
      </c>
      <c r="J2" s="1">
        <f>SUM(H2*I2)</f>
        <v>4300</v>
      </c>
      <c r="K2" s="1">
        <f>ROUND(AVERAGE(J2:J26),0)</f>
        <v>18589</v>
      </c>
      <c r="L2" s="1" t="s">
        <v>58</v>
      </c>
      <c r="M2" s="1" t="s">
        <v>60</v>
      </c>
    </row>
    <row r="3" spans="1:13" x14ac:dyDescent="0.25">
      <c r="A3" s="1">
        <v>2</v>
      </c>
      <c r="B3" s="1">
        <v>543202</v>
      </c>
      <c r="C3" s="2">
        <v>45861</v>
      </c>
      <c r="D3" s="1" t="s">
        <v>20</v>
      </c>
      <c r="E3" s="1" t="s">
        <v>25</v>
      </c>
      <c r="F3" s="1" t="s">
        <v>28</v>
      </c>
      <c r="G3" s="1" t="s">
        <v>53</v>
      </c>
      <c r="H3" s="1">
        <v>440</v>
      </c>
      <c r="I3" s="1">
        <v>5</v>
      </c>
      <c r="J3" s="1">
        <f t="shared" ref="J3:J26" si="0">SUM(H3*I3)</f>
        <v>2200</v>
      </c>
      <c r="K3" s="1">
        <f t="shared" ref="K3:K26" si="1">ROUND(AVERAGE(J3:J27),0)</f>
        <v>19184</v>
      </c>
      <c r="L3" s="1" t="s">
        <v>59</v>
      </c>
      <c r="M3" s="1" t="s">
        <v>61</v>
      </c>
    </row>
    <row r="4" spans="1:13" x14ac:dyDescent="0.25">
      <c r="A4" s="1">
        <v>3</v>
      </c>
      <c r="B4" s="1">
        <v>543203</v>
      </c>
      <c r="C4" s="2">
        <v>45862</v>
      </c>
      <c r="D4" s="1" t="s">
        <v>13</v>
      </c>
      <c r="E4" s="1" t="s">
        <v>26</v>
      </c>
      <c r="F4" s="1" t="s">
        <v>29</v>
      </c>
      <c r="G4" s="1" t="s">
        <v>84</v>
      </c>
      <c r="H4" s="1">
        <v>80</v>
      </c>
      <c r="I4" s="1">
        <v>15</v>
      </c>
      <c r="J4" s="1">
        <f t="shared" si="0"/>
        <v>1200</v>
      </c>
      <c r="K4" s="1">
        <f t="shared" si="1"/>
        <v>19138</v>
      </c>
      <c r="L4" s="1" t="s">
        <v>58</v>
      </c>
      <c r="M4" s="1" t="s">
        <v>60</v>
      </c>
    </row>
    <row r="5" spans="1:13" x14ac:dyDescent="0.25">
      <c r="A5" s="1">
        <v>4</v>
      </c>
      <c r="B5" s="1">
        <v>543204</v>
      </c>
      <c r="C5" s="2">
        <v>45863</v>
      </c>
      <c r="D5" s="1" t="s">
        <v>15</v>
      </c>
      <c r="E5" s="1" t="s">
        <v>24</v>
      </c>
      <c r="F5" s="1" t="s">
        <v>30</v>
      </c>
      <c r="G5" s="1" t="s">
        <v>77</v>
      </c>
      <c r="H5" s="1">
        <v>110</v>
      </c>
      <c r="I5" s="1">
        <v>10</v>
      </c>
      <c r="J5" s="1">
        <f t="shared" si="0"/>
        <v>1100</v>
      </c>
      <c r="K5" s="1">
        <f t="shared" si="1"/>
        <v>21888</v>
      </c>
      <c r="L5" s="1" t="s">
        <v>59</v>
      </c>
      <c r="M5" s="1" t="s">
        <v>61</v>
      </c>
    </row>
    <row r="6" spans="1:13" x14ac:dyDescent="0.25">
      <c r="A6" s="1">
        <v>5</v>
      </c>
      <c r="B6" s="1">
        <v>543205</v>
      </c>
      <c r="C6" s="2">
        <v>45864</v>
      </c>
      <c r="D6" s="1" t="s">
        <v>12</v>
      </c>
      <c r="E6" s="1" t="s">
        <v>25</v>
      </c>
      <c r="F6" s="1" t="s">
        <v>31</v>
      </c>
      <c r="G6" s="1" t="s">
        <v>56</v>
      </c>
      <c r="H6" s="1">
        <v>250</v>
      </c>
      <c r="I6" s="1">
        <v>30</v>
      </c>
      <c r="J6" s="1">
        <f t="shared" si="0"/>
        <v>7500</v>
      </c>
      <c r="K6" s="1">
        <f t="shared" si="1"/>
        <v>22792</v>
      </c>
      <c r="L6" s="1" t="s">
        <v>59</v>
      </c>
      <c r="M6" s="1" t="s">
        <v>61</v>
      </c>
    </row>
    <row r="7" spans="1:13" x14ac:dyDescent="0.25">
      <c r="A7" s="1">
        <v>6</v>
      </c>
      <c r="B7" s="1">
        <v>543206</v>
      </c>
      <c r="C7" s="2">
        <v>45865</v>
      </c>
      <c r="D7" s="1" t="s">
        <v>16</v>
      </c>
      <c r="E7" s="1" t="s">
        <v>25</v>
      </c>
      <c r="F7" s="1" t="s">
        <v>45</v>
      </c>
      <c r="G7" s="1" t="s">
        <v>72</v>
      </c>
      <c r="H7" s="1">
        <v>350</v>
      </c>
      <c r="I7" s="1">
        <v>100</v>
      </c>
      <c r="J7" s="1">
        <f t="shared" si="0"/>
        <v>35000</v>
      </c>
      <c r="K7" s="1">
        <f t="shared" si="1"/>
        <v>23487</v>
      </c>
      <c r="L7" s="1" t="s">
        <v>58</v>
      </c>
      <c r="M7" s="1" t="s">
        <v>61</v>
      </c>
    </row>
    <row r="8" spans="1:13" x14ac:dyDescent="0.25">
      <c r="A8" s="1">
        <v>7</v>
      </c>
      <c r="B8" s="1">
        <v>543207</v>
      </c>
      <c r="C8" s="2">
        <v>45866</v>
      </c>
      <c r="D8" s="1" t="s">
        <v>13</v>
      </c>
      <c r="E8" s="1" t="s">
        <v>24</v>
      </c>
      <c r="F8" s="1" t="s">
        <v>46</v>
      </c>
      <c r="G8" s="1" t="s">
        <v>78</v>
      </c>
      <c r="H8" s="1">
        <v>900</v>
      </c>
      <c r="I8" s="1">
        <v>50</v>
      </c>
      <c r="J8" s="1">
        <f t="shared" si="0"/>
        <v>45000</v>
      </c>
      <c r="K8" s="1">
        <f t="shared" si="1"/>
        <v>22939</v>
      </c>
      <c r="L8" s="1" t="s">
        <v>58</v>
      </c>
      <c r="M8" s="1" t="s">
        <v>60</v>
      </c>
    </row>
    <row r="9" spans="1:13" x14ac:dyDescent="0.25">
      <c r="A9" s="1">
        <v>8</v>
      </c>
      <c r="B9" s="1">
        <v>543208</v>
      </c>
      <c r="C9" s="2">
        <v>45867</v>
      </c>
      <c r="D9" s="1" t="s">
        <v>17</v>
      </c>
      <c r="E9" s="1" t="s">
        <v>26</v>
      </c>
      <c r="F9" s="1" t="s">
        <v>38</v>
      </c>
      <c r="G9" s="1" t="s">
        <v>75</v>
      </c>
      <c r="H9" s="1">
        <v>420</v>
      </c>
      <c r="I9" s="1">
        <v>90</v>
      </c>
      <c r="J9" s="1">
        <f t="shared" si="0"/>
        <v>37800</v>
      </c>
      <c r="K9" s="1">
        <f t="shared" si="1"/>
        <v>21836</v>
      </c>
      <c r="L9" s="1" t="s">
        <v>59</v>
      </c>
      <c r="M9" s="1" t="s">
        <v>61</v>
      </c>
    </row>
    <row r="10" spans="1:13" x14ac:dyDescent="0.25">
      <c r="A10" s="1">
        <v>9</v>
      </c>
      <c r="B10" s="1">
        <v>543209</v>
      </c>
      <c r="C10" s="2">
        <v>45868</v>
      </c>
      <c r="D10" s="1" t="s">
        <v>14</v>
      </c>
      <c r="E10" s="1" t="s">
        <v>24</v>
      </c>
      <c r="F10" s="1" t="s">
        <v>39</v>
      </c>
      <c r="G10" s="1" t="s">
        <v>76</v>
      </c>
      <c r="H10" s="1">
        <v>500</v>
      </c>
      <c r="I10" s="1">
        <v>60</v>
      </c>
      <c r="J10" s="1">
        <f t="shared" si="0"/>
        <v>30000</v>
      </c>
      <c r="K10" s="1">
        <f t="shared" si="1"/>
        <v>20996</v>
      </c>
      <c r="L10" s="1" t="s">
        <v>58</v>
      </c>
      <c r="M10" s="1" t="s">
        <v>60</v>
      </c>
    </row>
    <row r="11" spans="1:13" x14ac:dyDescent="0.25">
      <c r="A11" s="1">
        <v>10</v>
      </c>
      <c r="B11" s="1">
        <v>543210</v>
      </c>
      <c r="C11" s="2">
        <v>45869</v>
      </c>
      <c r="D11" s="1" t="s">
        <v>18</v>
      </c>
      <c r="E11" s="1" t="s">
        <v>24</v>
      </c>
      <c r="F11" s="1" t="s">
        <v>32</v>
      </c>
      <c r="G11" s="1" t="s">
        <v>74</v>
      </c>
      <c r="H11" s="1">
        <v>250</v>
      </c>
      <c r="I11" s="1">
        <v>20</v>
      </c>
      <c r="J11" s="1">
        <f t="shared" si="0"/>
        <v>5000</v>
      </c>
      <c r="K11" s="1">
        <f t="shared" si="1"/>
        <v>20496</v>
      </c>
      <c r="L11" s="1" t="s">
        <v>59</v>
      </c>
      <c r="M11" s="1" t="s">
        <v>61</v>
      </c>
    </row>
    <row r="12" spans="1:13" x14ac:dyDescent="0.25">
      <c r="A12" s="1">
        <v>11</v>
      </c>
      <c r="B12" s="1">
        <v>543211</v>
      </c>
      <c r="C12" s="2">
        <v>45870</v>
      </c>
      <c r="D12" s="1" t="s">
        <v>19</v>
      </c>
      <c r="E12" s="1" t="s">
        <v>26</v>
      </c>
      <c r="F12" s="1" t="s">
        <v>35</v>
      </c>
      <c r="G12" s="1" t="s">
        <v>79</v>
      </c>
      <c r="H12" s="1">
        <v>670</v>
      </c>
      <c r="I12" s="1">
        <v>30</v>
      </c>
      <c r="J12" s="1">
        <f t="shared" si="0"/>
        <v>20100</v>
      </c>
      <c r="K12" s="1">
        <f t="shared" si="1"/>
        <v>21407</v>
      </c>
      <c r="L12" s="1" t="s">
        <v>58</v>
      </c>
      <c r="M12" s="1" t="s">
        <v>60</v>
      </c>
    </row>
    <row r="13" spans="1:13" x14ac:dyDescent="0.25">
      <c r="A13" s="1">
        <v>12</v>
      </c>
      <c r="B13" s="1">
        <v>543212</v>
      </c>
      <c r="C13" s="2">
        <v>45871</v>
      </c>
      <c r="D13" s="1" t="s">
        <v>21</v>
      </c>
      <c r="E13" s="1" t="s">
        <v>24</v>
      </c>
      <c r="F13" s="1" t="s">
        <v>36</v>
      </c>
      <c r="G13" s="1" t="s">
        <v>73</v>
      </c>
      <c r="H13" s="1">
        <v>350</v>
      </c>
      <c r="I13" s="1">
        <v>20</v>
      </c>
      <c r="J13" s="1">
        <f t="shared" si="0"/>
        <v>7000</v>
      </c>
      <c r="K13" s="1">
        <f t="shared" si="1"/>
        <v>21489</v>
      </c>
      <c r="L13" s="1" t="s">
        <v>59</v>
      </c>
      <c r="M13" s="1" t="s">
        <v>61</v>
      </c>
    </row>
    <row r="14" spans="1:13" x14ac:dyDescent="0.25">
      <c r="A14" s="1">
        <v>13</v>
      </c>
      <c r="B14" s="1">
        <v>543213</v>
      </c>
      <c r="C14" s="2">
        <v>45872</v>
      </c>
      <c r="D14" s="1" t="s">
        <v>22</v>
      </c>
      <c r="E14" s="1" t="s">
        <v>24</v>
      </c>
      <c r="F14" s="1" t="s">
        <v>37</v>
      </c>
      <c r="G14" s="1" t="s">
        <v>55</v>
      </c>
      <c r="H14" s="1">
        <v>700</v>
      </c>
      <c r="I14" s="1">
        <v>25</v>
      </c>
      <c r="J14" s="1">
        <f t="shared" si="0"/>
        <v>17500</v>
      </c>
      <c r="K14" s="1">
        <f t="shared" si="1"/>
        <v>22455</v>
      </c>
      <c r="L14" s="1" t="s">
        <v>58</v>
      </c>
      <c r="M14" s="1" t="s">
        <v>61</v>
      </c>
    </row>
    <row r="15" spans="1:13" x14ac:dyDescent="0.25">
      <c r="A15" s="1">
        <v>14</v>
      </c>
      <c r="B15" s="1">
        <v>543214</v>
      </c>
      <c r="C15" s="2">
        <v>45873</v>
      </c>
      <c r="D15" s="1" t="s">
        <v>23</v>
      </c>
      <c r="E15" s="1" t="s">
        <v>25</v>
      </c>
      <c r="F15" s="1" t="s">
        <v>33</v>
      </c>
      <c r="G15" s="1" t="s">
        <v>54</v>
      </c>
      <c r="H15" s="1">
        <v>600</v>
      </c>
      <c r="I15" s="1">
        <v>35</v>
      </c>
      <c r="J15" s="1">
        <f t="shared" si="0"/>
        <v>21000</v>
      </c>
      <c r="K15" s="1">
        <f t="shared" si="1"/>
        <v>22809</v>
      </c>
      <c r="L15" s="1" t="s">
        <v>58</v>
      </c>
      <c r="M15" s="1" t="s">
        <v>61</v>
      </c>
    </row>
    <row r="16" spans="1:13" x14ac:dyDescent="0.25">
      <c r="A16" s="1">
        <v>15</v>
      </c>
      <c r="B16" s="1">
        <v>543215</v>
      </c>
      <c r="C16" s="2">
        <v>45874</v>
      </c>
      <c r="D16" s="1" t="s">
        <v>20</v>
      </c>
      <c r="E16" s="1" t="s">
        <v>25</v>
      </c>
      <c r="F16" s="1" t="s">
        <v>34</v>
      </c>
      <c r="G16" s="1" t="s">
        <v>80</v>
      </c>
      <c r="H16" s="1">
        <v>740</v>
      </c>
      <c r="I16" s="1">
        <v>50</v>
      </c>
      <c r="J16" s="1">
        <f t="shared" si="0"/>
        <v>37000</v>
      </c>
      <c r="K16" s="1">
        <f t="shared" si="1"/>
        <v>22948</v>
      </c>
      <c r="L16" s="1" t="s">
        <v>58</v>
      </c>
      <c r="M16" s="1" t="s">
        <v>60</v>
      </c>
    </row>
    <row r="17" spans="1:13" x14ac:dyDescent="0.25">
      <c r="A17" s="1">
        <v>16</v>
      </c>
      <c r="B17" s="1">
        <v>543216</v>
      </c>
      <c r="C17" s="2">
        <v>45875</v>
      </c>
      <c r="D17" s="1" t="s">
        <v>13</v>
      </c>
      <c r="E17" s="1" t="s">
        <v>24</v>
      </c>
      <c r="F17" s="1" t="s">
        <v>40</v>
      </c>
      <c r="G17" s="1" t="s">
        <v>81</v>
      </c>
      <c r="H17" s="1">
        <v>300</v>
      </c>
      <c r="I17" s="1">
        <v>20</v>
      </c>
      <c r="J17" s="1">
        <f t="shared" si="0"/>
        <v>6000</v>
      </c>
      <c r="K17" s="1">
        <f t="shared" si="1"/>
        <v>21777</v>
      </c>
      <c r="L17" s="1" t="s">
        <v>59</v>
      </c>
      <c r="M17" s="1" t="s">
        <v>60</v>
      </c>
    </row>
    <row r="18" spans="1:13" x14ac:dyDescent="0.25">
      <c r="A18" s="1">
        <v>17</v>
      </c>
      <c r="B18" s="1">
        <v>543217</v>
      </c>
      <c r="C18" s="2">
        <v>45876</v>
      </c>
      <c r="D18" s="1" t="s">
        <v>15</v>
      </c>
      <c r="E18" s="1" t="s">
        <v>26</v>
      </c>
      <c r="F18" s="1" t="s">
        <v>41</v>
      </c>
      <c r="G18" s="1" t="s">
        <v>82</v>
      </c>
      <c r="H18" s="1">
        <v>600</v>
      </c>
      <c r="I18" s="1">
        <v>5</v>
      </c>
      <c r="J18" s="1">
        <f t="shared" si="0"/>
        <v>3000</v>
      </c>
      <c r="K18" s="1">
        <f t="shared" si="1"/>
        <v>23211</v>
      </c>
      <c r="L18" s="1" t="s">
        <v>58</v>
      </c>
      <c r="M18" s="1" t="s">
        <v>60</v>
      </c>
    </row>
    <row r="19" spans="1:13" x14ac:dyDescent="0.25">
      <c r="A19" s="1">
        <v>18</v>
      </c>
      <c r="B19" s="1">
        <v>543218</v>
      </c>
      <c r="C19" s="2">
        <v>45877</v>
      </c>
      <c r="D19" s="1" t="s">
        <v>12</v>
      </c>
      <c r="E19" s="1" t="s">
        <v>24</v>
      </c>
      <c r="F19" s="1" t="s">
        <v>42</v>
      </c>
      <c r="G19" s="1" t="s">
        <v>83</v>
      </c>
      <c r="H19" s="1">
        <v>400</v>
      </c>
      <c r="I19" s="1">
        <v>60</v>
      </c>
      <c r="J19" s="1">
        <f t="shared" si="0"/>
        <v>24000</v>
      </c>
      <c r="K19" s="1">
        <f t="shared" si="1"/>
        <v>25232</v>
      </c>
      <c r="L19" s="1" t="s">
        <v>59</v>
      </c>
      <c r="M19" s="1" t="s">
        <v>60</v>
      </c>
    </row>
    <row r="20" spans="1:13" x14ac:dyDescent="0.25">
      <c r="A20" s="1">
        <v>19</v>
      </c>
      <c r="B20" s="1">
        <v>543219</v>
      </c>
      <c r="C20" s="2">
        <v>45878</v>
      </c>
      <c r="D20" s="1" t="s">
        <v>16</v>
      </c>
      <c r="E20" s="1" t="s">
        <v>24</v>
      </c>
      <c r="F20" s="1" t="s">
        <v>43</v>
      </c>
      <c r="G20" s="1" t="s">
        <v>85</v>
      </c>
      <c r="H20" s="1">
        <v>200</v>
      </c>
      <c r="I20" s="1">
        <v>30</v>
      </c>
      <c r="J20" s="1">
        <f t="shared" si="0"/>
        <v>6000</v>
      </c>
      <c r="K20" s="1">
        <f t="shared" si="1"/>
        <v>25369</v>
      </c>
      <c r="L20" s="1" t="s">
        <v>58</v>
      </c>
      <c r="M20" s="1" t="s">
        <v>60</v>
      </c>
    </row>
    <row r="21" spans="1:13" x14ac:dyDescent="0.25">
      <c r="A21" s="1">
        <v>20</v>
      </c>
      <c r="B21" s="1">
        <v>543220</v>
      </c>
      <c r="C21" s="2">
        <v>45879</v>
      </c>
      <c r="D21" s="1" t="s">
        <v>13</v>
      </c>
      <c r="E21" s="1" t="s">
        <v>25</v>
      </c>
      <c r="F21" s="1" t="s">
        <v>44</v>
      </c>
      <c r="G21" s="1" t="s">
        <v>86</v>
      </c>
      <c r="H21" s="1">
        <v>560</v>
      </c>
      <c r="I21" s="1">
        <v>120</v>
      </c>
      <c r="J21" s="1">
        <f t="shared" si="0"/>
        <v>67200</v>
      </c>
      <c r="K21" s="1">
        <f t="shared" si="1"/>
        <v>27790</v>
      </c>
      <c r="L21" s="1" t="s">
        <v>59</v>
      </c>
      <c r="M21" s="1" t="s">
        <v>61</v>
      </c>
    </row>
    <row r="22" spans="1:13" x14ac:dyDescent="0.25">
      <c r="A22" s="1">
        <v>21</v>
      </c>
      <c r="B22" s="1">
        <v>543221</v>
      </c>
      <c r="C22" s="2">
        <v>45880</v>
      </c>
      <c r="D22" s="1" t="s">
        <v>17</v>
      </c>
      <c r="E22" s="1" t="s">
        <v>26</v>
      </c>
      <c r="F22" s="1" t="s">
        <v>50</v>
      </c>
      <c r="G22" s="1" t="s">
        <v>87</v>
      </c>
      <c r="H22" s="1">
        <v>633</v>
      </c>
      <c r="I22" s="1">
        <v>40</v>
      </c>
      <c r="J22" s="1">
        <f t="shared" si="0"/>
        <v>25320</v>
      </c>
      <c r="K22" s="1">
        <f t="shared" si="1"/>
        <v>22160</v>
      </c>
      <c r="L22" s="1" t="s">
        <v>58</v>
      </c>
      <c r="M22" s="1" t="s">
        <v>61</v>
      </c>
    </row>
    <row r="23" spans="1:13" x14ac:dyDescent="0.25">
      <c r="A23" s="1">
        <v>22</v>
      </c>
      <c r="B23" s="1">
        <v>543222</v>
      </c>
      <c r="C23" s="2">
        <v>45881</v>
      </c>
      <c r="D23" s="1" t="s">
        <v>14</v>
      </c>
      <c r="E23" s="1" t="s">
        <v>24</v>
      </c>
      <c r="F23" s="1" t="s">
        <v>47</v>
      </c>
      <c r="G23" s="1" t="s">
        <v>88</v>
      </c>
      <c r="H23" s="1">
        <v>650</v>
      </c>
      <c r="I23" s="1">
        <v>50</v>
      </c>
      <c r="J23" s="1">
        <f t="shared" si="0"/>
        <v>32500</v>
      </c>
      <c r="K23" s="1">
        <f t="shared" si="1"/>
        <v>21633</v>
      </c>
      <c r="L23" s="1" t="s">
        <v>58</v>
      </c>
      <c r="M23" s="1" t="s">
        <v>61</v>
      </c>
    </row>
    <row r="24" spans="1:13" x14ac:dyDescent="0.25">
      <c r="A24" s="1">
        <v>23</v>
      </c>
      <c r="B24" s="1">
        <v>543223</v>
      </c>
      <c r="C24" s="2">
        <v>45882</v>
      </c>
      <c r="D24" s="1" t="s">
        <v>18</v>
      </c>
      <c r="E24" s="1" t="s">
        <v>26</v>
      </c>
      <c r="F24" s="1" t="s">
        <v>48</v>
      </c>
      <c r="G24" s="1" t="s">
        <v>57</v>
      </c>
      <c r="H24" s="1">
        <v>100</v>
      </c>
      <c r="I24" s="1">
        <v>30</v>
      </c>
      <c r="J24" s="1">
        <f t="shared" si="0"/>
        <v>3000</v>
      </c>
      <c r="K24" s="1">
        <f t="shared" si="1"/>
        <v>19460</v>
      </c>
      <c r="L24" s="1" t="s">
        <v>58</v>
      </c>
      <c r="M24" s="1" t="s">
        <v>60</v>
      </c>
    </row>
    <row r="25" spans="1:13" x14ac:dyDescent="0.25">
      <c r="A25" s="1">
        <v>24</v>
      </c>
      <c r="B25" s="1">
        <v>543224</v>
      </c>
      <c r="C25" s="2">
        <v>45883</v>
      </c>
      <c r="D25" s="1" t="s">
        <v>19</v>
      </c>
      <c r="E25" s="1" t="s">
        <v>24</v>
      </c>
      <c r="F25" s="1" t="s">
        <v>49</v>
      </c>
      <c r="G25" s="1" t="s">
        <v>89</v>
      </c>
      <c r="H25" s="1">
        <v>300</v>
      </c>
      <c r="I25" s="1">
        <v>40</v>
      </c>
      <c r="J25" s="1">
        <f t="shared" si="0"/>
        <v>12000</v>
      </c>
      <c r="K25" s="1">
        <f t="shared" si="1"/>
        <v>23575</v>
      </c>
      <c r="L25" s="1" t="s">
        <v>59</v>
      </c>
      <c r="M25" s="1" t="s">
        <v>60</v>
      </c>
    </row>
    <row r="26" spans="1:13" x14ac:dyDescent="0.25">
      <c r="A26" s="1">
        <v>25</v>
      </c>
      <c r="B26" s="1">
        <v>543225</v>
      </c>
      <c r="C26" s="2">
        <v>45884</v>
      </c>
      <c r="D26" s="1" t="s">
        <v>21</v>
      </c>
      <c r="E26" s="1" t="s">
        <v>25</v>
      </c>
      <c r="F26" s="1" t="s">
        <v>51</v>
      </c>
      <c r="G26" s="1" t="s">
        <v>90</v>
      </c>
      <c r="H26" s="1">
        <v>200</v>
      </c>
      <c r="I26" s="1">
        <v>70</v>
      </c>
      <c r="J26" s="1">
        <f t="shared" si="0"/>
        <v>14000</v>
      </c>
      <c r="K26" s="1">
        <f t="shared" si="1"/>
        <v>27433</v>
      </c>
      <c r="L26" s="1" t="s">
        <v>58</v>
      </c>
      <c r="M26" s="1" t="s">
        <v>61</v>
      </c>
    </row>
    <row r="27" spans="1:13" x14ac:dyDescent="0.25">
      <c r="C27" s="2"/>
    </row>
    <row r="28" spans="1:13" x14ac:dyDescent="0.25">
      <c r="G28" s="1" t="s">
        <v>66</v>
      </c>
      <c r="H28" s="1">
        <f>MIN(H2:H26)</f>
        <v>80</v>
      </c>
      <c r="I28" s="1">
        <f>MIN(I2:I26)</f>
        <v>5</v>
      </c>
      <c r="J28" s="1">
        <f>MIN(J2:J26)</f>
        <v>1100</v>
      </c>
      <c r="K28" s="1">
        <f>MIN(K2:K26)</f>
        <v>18589</v>
      </c>
    </row>
    <row r="29" spans="1:13" x14ac:dyDescent="0.25">
      <c r="G29" s="1" t="s">
        <v>67</v>
      </c>
      <c r="H29" s="1">
        <f>MAX(H2:H26)</f>
        <v>900</v>
      </c>
      <c r="I29" s="1">
        <f>MAX(I2:I26)</f>
        <v>120</v>
      </c>
      <c r="J29" s="1">
        <f>MAX(J2:J26)</f>
        <v>67200</v>
      </c>
      <c r="K29" s="1">
        <f>MAX(K2:K26)</f>
        <v>27790</v>
      </c>
    </row>
    <row r="30" spans="1:13" x14ac:dyDescent="0.25">
      <c r="B30" s="1" t="s">
        <v>62</v>
      </c>
      <c r="C30" s="1">
        <f>COUNT(A1:M26)</f>
        <v>175</v>
      </c>
    </row>
    <row r="31" spans="1:13" x14ac:dyDescent="0.25">
      <c r="B31" s="1" t="s">
        <v>63</v>
      </c>
      <c r="C31" s="1">
        <f>COUNT(A1:M26)</f>
        <v>175</v>
      </c>
    </row>
    <row r="32" spans="1:13" x14ac:dyDescent="0.25">
      <c r="B32" s="1" t="s">
        <v>64</v>
      </c>
      <c r="C32" s="1">
        <f>COUNTA(A1:M26)</f>
        <v>338</v>
      </c>
    </row>
    <row r="33" spans="2:20" x14ac:dyDescent="0.25">
      <c r="B33" s="1" t="s">
        <v>65</v>
      </c>
      <c r="C33" s="1">
        <f>COUNTIF(E2:E26,"A")</f>
        <v>12</v>
      </c>
      <c r="D33" s="1">
        <f>COUNTIF(E2:E26,"B")</f>
        <v>7</v>
      </c>
      <c r="E33" s="1">
        <f>COUNTIF(E2:E26,"C")</f>
        <v>6</v>
      </c>
    </row>
    <row r="34" spans="2:20" x14ac:dyDescent="0.25">
      <c r="B34" s="1" t="s">
        <v>69</v>
      </c>
      <c r="C34" s="1">
        <f>COUNTIFS(L2:L26,"MEMBER ")</f>
        <v>15</v>
      </c>
      <c r="D34" s="1">
        <f>COUNTIFS(L2:L26,"NORMAL")</f>
        <v>10</v>
      </c>
    </row>
    <row r="35" spans="2:20" x14ac:dyDescent="0.25">
      <c r="B35" s="1" t="s">
        <v>68</v>
      </c>
      <c r="C35" s="1">
        <f>COUNTIFS(M2:M26,"CASH")</f>
        <v>13</v>
      </c>
      <c r="D35" s="1">
        <f>COUNTIFS(M2:M26,"CARD")</f>
        <v>12</v>
      </c>
    </row>
    <row r="42" spans="2:20" x14ac:dyDescent="0.25">
      <c r="T42" s="2"/>
    </row>
    <row r="43" spans="2:20" x14ac:dyDescent="0.25">
      <c r="T43" s="2"/>
    </row>
    <row r="44" spans="2:20" x14ac:dyDescent="0.25">
      <c r="T44" s="2"/>
    </row>
    <row r="45" spans="2:20" x14ac:dyDescent="0.25">
      <c r="T45" s="2"/>
    </row>
    <row r="46" spans="2:20" x14ac:dyDescent="0.25">
      <c r="T46" s="2"/>
    </row>
    <row r="47" spans="2:20" x14ac:dyDescent="0.25">
      <c r="T47" s="2"/>
    </row>
    <row r="48" spans="2:20" x14ac:dyDescent="0.25">
      <c r="T48" s="2"/>
    </row>
    <row r="49" spans="20:20" x14ac:dyDescent="0.25">
      <c r="T49" s="2"/>
    </row>
    <row r="50" spans="20:20" x14ac:dyDescent="0.25">
      <c r="T50" s="2"/>
    </row>
    <row r="51" spans="20:20" x14ac:dyDescent="0.25">
      <c r="T51" s="2"/>
    </row>
    <row r="52" spans="20:20" x14ac:dyDescent="0.25">
      <c r="T52" s="2"/>
    </row>
    <row r="53" spans="20:20" x14ac:dyDescent="0.25">
      <c r="T53" s="2"/>
    </row>
    <row r="54" spans="20:20" x14ac:dyDescent="0.25">
      <c r="T54" s="2"/>
    </row>
    <row r="55" spans="20:20" x14ac:dyDescent="0.25">
      <c r="T55" s="2"/>
    </row>
    <row r="56" spans="20:20" x14ac:dyDescent="0.25">
      <c r="T56" s="2"/>
    </row>
    <row r="57" spans="20:20" x14ac:dyDescent="0.25">
      <c r="T57" s="2"/>
    </row>
    <row r="58" spans="20:20" x14ac:dyDescent="0.25">
      <c r="T58" s="2"/>
    </row>
    <row r="59" spans="20:20" x14ac:dyDescent="0.25">
      <c r="T59" s="2"/>
    </row>
    <row r="60" spans="20:20" x14ac:dyDescent="0.25">
      <c r="T60" s="2"/>
    </row>
    <row r="61" spans="20:20" x14ac:dyDescent="0.25">
      <c r="T61" s="2"/>
    </row>
    <row r="62" spans="20:20" x14ac:dyDescent="0.25">
      <c r="T62" s="2"/>
    </row>
    <row r="63" spans="20:20" x14ac:dyDescent="0.25">
      <c r="T63" s="2"/>
    </row>
    <row r="64" spans="20:20" x14ac:dyDescent="0.25">
      <c r="T64" s="2"/>
    </row>
    <row r="65" spans="20:20" x14ac:dyDescent="0.25">
      <c r="T65" s="2"/>
    </row>
    <row r="66" spans="20:20" x14ac:dyDescent="0.25">
      <c r="T66" s="2"/>
    </row>
    <row r="67" spans="20:20" x14ac:dyDescent="0.25">
      <c r="T67" s="2"/>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6F51-0EB2-4B84-A2CF-87225DC22B7F}">
  <dimension ref="A3:N97"/>
  <sheetViews>
    <sheetView zoomScale="48" zoomScaleNormal="31" workbookViewId="0">
      <selection activeCell="I20" sqref="I20"/>
    </sheetView>
  </sheetViews>
  <sheetFormatPr defaultRowHeight="15" x14ac:dyDescent="0.25"/>
  <cols>
    <col min="1" max="1" width="35.28515625" bestFit="1" customWidth="1"/>
    <col min="2" max="2" width="24.85546875" bestFit="1" customWidth="1"/>
    <col min="3" max="3" width="43" bestFit="1" customWidth="1"/>
    <col min="4" max="4" width="29.5703125" bestFit="1" customWidth="1"/>
    <col min="9" max="9" width="21.42578125" bestFit="1" customWidth="1"/>
    <col min="10" max="10" width="23.42578125" bestFit="1" customWidth="1"/>
    <col min="11" max="11" width="13.28515625" bestFit="1" customWidth="1"/>
    <col min="12" max="12" width="18" bestFit="1" customWidth="1"/>
    <col min="13" max="13" width="20.140625" bestFit="1" customWidth="1"/>
    <col min="14" max="14" width="24" bestFit="1" customWidth="1"/>
    <col min="15" max="15" width="24.85546875" bestFit="1" customWidth="1"/>
  </cols>
  <sheetData>
    <row r="3" spans="1:13" x14ac:dyDescent="0.25">
      <c r="A3" s="3" t="s">
        <v>1</v>
      </c>
      <c r="B3" t="s">
        <v>91</v>
      </c>
      <c r="L3" s="3" t="s">
        <v>2</v>
      </c>
      <c r="M3" t="s">
        <v>92</v>
      </c>
    </row>
    <row r="4" spans="1:13" x14ac:dyDescent="0.25">
      <c r="A4" s="4" t="s">
        <v>41</v>
      </c>
      <c r="B4" s="6">
        <v>5</v>
      </c>
      <c r="L4" s="4" t="s">
        <v>52</v>
      </c>
      <c r="M4" s="6">
        <v>430</v>
      </c>
    </row>
    <row r="5" spans="1:13" x14ac:dyDescent="0.25">
      <c r="A5" s="4" t="s">
        <v>45</v>
      </c>
      <c r="B5" s="6">
        <v>100</v>
      </c>
      <c r="L5" s="4" t="s">
        <v>56</v>
      </c>
      <c r="M5" s="6">
        <v>250</v>
      </c>
    </row>
    <row r="6" spans="1:13" x14ac:dyDescent="0.25">
      <c r="A6" s="4" t="s">
        <v>48</v>
      </c>
      <c r="B6" s="6">
        <v>30</v>
      </c>
      <c r="L6" s="4" t="s">
        <v>80</v>
      </c>
      <c r="M6" s="6">
        <v>740</v>
      </c>
    </row>
    <row r="7" spans="1:13" x14ac:dyDescent="0.25">
      <c r="A7" s="4" t="s">
        <v>47</v>
      </c>
      <c r="B7" s="6">
        <v>50</v>
      </c>
      <c r="L7" s="4" t="s">
        <v>76</v>
      </c>
      <c r="M7" s="6">
        <v>500</v>
      </c>
    </row>
    <row r="8" spans="1:13" x14ac:dyDescent="0.25">
      <c r="A8" s="4" t="s">
        <v>29</v>
      </c>
      <c r="B8" s="6">
        <v>15</v>
      </c>
      <c r="L8" s="4" t="s">
        <v>85</v>
      </c>
      <c r="M8" s="6">
        <v>200</v>
      </c>
    </row>
    <row r="9" spans="1:13" x14ac:dyDescent="0.25">
      <c r="A9" s="4" t="s">
        <v>28</v>
      </c>
      <c r="B9" s="6">
        <v>5</v>
      </c>
      <c r="L9" s="4" t="s">
        <v>78</v>
      </c>
      <c r="M9" s="6">
        <v>900</v>
      </c>
    </row>
    <row r="10" spans="1:13" x14ac:dyDescent="0.25">
      <c r="A10" s="4" t="s">
        <v>34</v>
      </c>
      <c r="B10" s="6">
        <v>50</v>
      </c>
      <c r="L10" s="4" t="s">
        <v>73</v>
      </c>
      <c r="M10" s="6">
        <v>350</v>
      </c>
    </row>
    <row r="11" spans="1:13" x14ac:dyDescent="0.25">
      <c r="A11" s="4" t="s">
        <v>33</v>
      </c>
      <c r="B11" s="6">
        <v>35</v>
      </c>
      <c r="L11" s="4" t="s">
        <v>89</v>
      </c>
      <c r="M11" s="6">
        <v>300</v>
      </c>
    </row>
    <row r="12" spans="1:13" x14ac:dyDescent="0.25">
      <c r="A12" s="4" t="s">
        <v>36</v>
      </c>
      <c r="B12" s="6">
        <v>20</v>
      </c>
      <c r="L12" s="4" t="s">
        <v>74</v>
      </c>
      <c r="M12" s="6">
        <v>250</v>
      </c>
    </row>
    <row r="13" spans="1:13" x14ac:dyDescent="0.25">
      <c r="A13" s="4" t="s">
        <v>42</v>
      </c>
      <c r="B13" s="6">
        <v>60</v>
      </c>
      <c r="L13" s="4" t="s">
        <v>86</v>
      </c>
      <c r="M13" s="6">
        <v>560</v>
      </c>
    </row>
    <row r="14" spans="1:13" x14ac:dyDescent="0.25">
      <c r="A14" s="4" t="s">
        <v>44</v>
      </c>
      <c r="B14" s="6">
        <v>120</v>
      </c>
      <c r="L14" s="4" t="s">
        <v>84</v>
      </c>
      <c r="M14" s="6">
        <v>80</v>
      </c>
    </row>
    <row r="15" spans="1:13" x14ac:dyDescent="0.25">
      <c r="A15" s="4" t="s">
        <v>37</v>
      </c>
      <c r="B15" s="6">
        <v>25</v>
      </c>
      <c r="L15" s="4" t="s">
        <v>57</v>
      </c>
      <c r="M15" s="6">
        <v>100</v>
      </c>
    </row>
    <row r="16" spans="1:13" x14ac:dyDescent="0.25">
      <c r="A16" s="4" t="s">
        <v>40</v>
      </c>
      <c r="B16" s="6">
        <v>20</v>
      </c>
      <c r="L16" s="4" t="s">
        <v>53</v>
      </c>
      <c r="M16" s="6">
        <v>440</v>
      </c>
    </row>
    <row r="17" spans="1:13" x14ac:dyDescent="0.25">
      <c r="A17" s="4" t="s">
        <v>27</v>
      </c>
      <c r="B17" s="6">
        <v>10</v>
      </c>
      <c r="L17" s="4" t="s">
        <v>88</v>
      </c>
      <c r="M17" s="6">
        <v>650</v>
      </c>
    </row>
    <row r="18" spans="1:13" x14ac:dyDescent="0.25">
      <c r="A18" s="4" t="s">
        <v>43</v>
      </c>
      <c r="B18" s="6">
        <v>30</v>
      </c>
      <c r="L18" s="4" t="s">
        <v>83</v>
      </c>
      <c r="M18" s="6">
        <v>400</v>
      </c>
    </row>
    <row r="19" spans="1:13" x14ac:dyDescent="0.25">
      <c r="A19" s="4" t="s">
        <v>51</v>
      </c>
      <c r="B19" s="6">
        <v>70</v>
      </c>
      <c r="L19" s="4" t="s">
        <v>75</v>
      </c>
      <c r="M19" s="6">
        <v>420</v>
      </c>
    </row>
    <row r="20" spans="1:13" x14ac:dyDescent="0.25">
      <c r="A20" s="4" t="s">
        <v>39</v>
      </c>
      <c r="B20" s="6">
        <v>60</v>
      </c>
      <c r="L20" s="4" t="s">
        <v>87</v>
      </c>
      <c r="M20" s="6">
        <v>633</v>
      </c>
    </row>
    <row r="21" spans="1:13" x14ac:dyDescent="0.25">
      <c r="A21" s="4" t="s">
        <v>30</v>
      </c>
      <c r="B21" s="6">
        <v>10</v>
      </c>
      <c r="L21" s="4" t="s">
        <v>79</v>
      </c>
      <c r="M21" s="6">
        <v>670</v>
      </c>
    </row>
    <row r="22" spans="1:13" x14ac:dyDescent="0.25">
      <c r="A22" s="4" t="s">
        <v>35</v>
      </c>
      <c r="B22" s="6">
        <v>30</v>
      </c>
      <c r="L22" s="4" t="s">
        <v>54</v>
      </c>
      <c r="M22" s="6">
        <v>600</v>
      </c>
    </row>
    <row r="23" spans="1:13" x14ac:dyDescent="0.25">
      <c r="A23" s="4" t="s">
        <v>32</v>
      </c>
      <c r="B23" s="6">
        <v>20</v>
      </c>
      <c r="L23" s="4" t="s">
        <v>77</v>
      </c>
      <c r="M23" s="6">
        <v>110</v>
      </c>
    </row>
    <row r="24" spans="1:13" x14ac:dyDescent="0.25">
      <c r="A24" s="4" t="s">
        <v>50</v>
      </c>
      <c r="B24" s="6">
        <v>40</v>
      </c>
      <c r="L24" s="4" t="s">
        <v>81</v>
      </c>
      <c r="M24" s="6">
        <v>300</v>
      </c>
    </row>
    <row r="25" spans="1:13" x14ac:dyDescent="0.25">
      <c r="A25" s="4" t="s">
        <v>31</v>
      </c>
      <c r="B25" s="6">
        <v>30</v>
      </c>
      <c r="L25" s="4" t="s">
        <v>55</v>
      </c>
      <c r="M25" s="6">
        <v>700</v>
      </c>
    </row>
    <row r="26" spans="1:13" x14ac:dyDescent="0.25">
      <c r="A26" s="4" t="s">
        <v>38</v>
      </c>
      <c r="B26" s="6">
        <v>90</v>
      </c>
      <c r="L26" s="4" t="s">
        <v>82</v>
      </c>
      <c r="M26" s="6">
        <v>600</v>
      </c>
    </row>
    <row r="27" spans="1:13" x14ac:dyDescent="0.25">
      <c r="A27" s="4" t="s">
        <v>49</v>
      </c>
      <c r="B27" s="6">
        <v>40</v>
      </c>
      <c r="L27" s="4" t="s">
        <v>72</v>
      </c>
      <c r="M27" s="6">
        <v>350</v>
      </c>
    </row>
    <row r="28" spans="1:13" x14ac:dyDescent="0.25">
      <c r="A28" s="4" t="s">
        <v>46</v>
      </c>
      <c r="B28" s="6">
        <v>50</v>
      </c>
      <c r="L28" s="4" t="s">
        <v>90</v>
      </c>
      <c r="M28" s="6">
        <v>200</v>
      </c>
    </row>
    <row r="29" spans="1:13" x14ac:dyDescent="0.25">
      <c r="A29" s="4" t="s">
        <v>71</v>
      </c>
      <c r="B29" s="6">
        <v>1015</v>
      </c>
      <c r="L29" s="4" t="s">
        <v>71</v>
      </c>
      <c r="M29" s="6">
        <v>10733</v>
      </c>
    </row>
    <row r="33" spans="1:13" x14ac:dyDescent="0.25">
      <c r="A33" s="3" t="s">
        <v>6</v>
      </c>
      <c r="B33" t="s">
        <v>93</v>
      </c>
    </row>
    <row r="34" spans="1:13" x14ac:dyDescent="0.25">
      <c r="A34" s="4" t="s">
        <v>58</v>
      </c>
      <c r="B34" s="6">
        <v>15</v>
      </c>
      <c r="L34" s="3" t="s">
        <v>8</v>
      </c>
      <c r="M34" t="s">
        <v>96</v>
      </c>
    </row>
    <row r="35" spans="1:13" x14ac:dyDescent="0.25">
      <c r="A35" s="4" t="s">
        <v>59</v>
      </c>
      <c r="B35" s="6">
        <v>10</v>
      </c>
      <c r="L35" s="4" t="s">
        <v>24</v>
      </c>
      <c r="M35" s="6">
        <v>190400</v>
      </c>
    </row>
    <row r="36" spans="1:13" x14ac:dyDescent="0.25">
      <c r="A36" s="4" t="s">
        <v>71</v>
      </c>
      <c r="B36" s="6">
        <v>25</v>
      </c>
      <c r="L36" s="4" t="s">
        <v>25</v>
      </c>
      <c r="M36" s="6">
        <v>183900</v>
      </c>
    </row>
    <row r="37" spans="1:13" x14ac:dyDescent="0.25">
      <c r="L37" s="4" t="s">
        <v>26</v>
      </c>
      <c r="M37" s="6">
        <v>90420</v>
      </c>
    </row>
    <row r="38" spans="1:13" x14ac:dyDescent="0.25">
      <c r="L38" s="4" t="s">
        <v>71</v>
      </c>
      <c r="M38" s="6">
        <v>464720</v>
      </c>
    </row>
    <row r="46" spans="1:13" x14ac:dyDescent="0.25">
      <c r="A46" s="3" t="s">
        <v>97</v>
      </c>
      <c r="B46" t="s">
        <v>92</v>
      </c>
    </row>
    <row r="47" spans="1:13" x14ac:dyDescent="0.25">
      <c r="A47" s="4" t="s">
        <v>52</v>
      </c>
      <c r="B47" s="6">
        <v>430</v>
      </c>
    </row>
    <row r="48" spans="1:13" x14ac:dyDescent="0.25">
      <c r="A48" s="5" t="s">
        <v>60</v>
      </c>
      <c r="B48" s="6">
        <v>430</v>
      </c>
    </row>
    <row r="49" spans="1:14" x14ac:dyDescent="0.25">
      <c r="A49" s="4" t="s">
        <v>56</v>
      </c>
      <c r="B49" s="6">
        <v>250</v>
      </c>
    </row>
    <row r="50" spans="1:14" x14ac:dyDescent="0.25">
      <c r="A50" s="5" t="s">
        <v>61</v>
      </c>
      <c r="B50" s="6">
        <v>250</v>
      </c>
    </row>
    <row r="51" spans="1:14" x14ac:dyDescent="0.25">
      <c r="A51" s="4" t="s">
        <v>80</v>
      </c>
      <c r="B51" s="6">
        <v>740</v>
      </c>
      <c r="M51" s="3" t="s">
        <v>1</v>
      </c>
      <c r="N51" t="s">
        <v>95</v>
      </c>
    </row>
    <row r="52" spans="1:14" x14ac:dyDescent="0.25">
      <c r="A52" s="5" t="s">
        <v>60</v>
      </c>
      <c r="B52" s="6">
        <v>740</v>
      </c>
      <c r="M52" s="4" t="s">
        <v>41</v>
      </c>
      <c r="N52" s="6">
        <v>23211</v>
      </c>
    </row>
    <row r="53" spans="1:14" x14ac:dyDescent="0.25">
      <c r="A53" s="4" t="s">
        <v>76</v>
      </c>
      <c r="B53" s="6">
        <v>500</v>
      </c>
      <c r="M53" s="4" t="s">
        <v>45</v>
      </c>
      <c r="N53" s="6">
        <v>23487</v>
      </c>
    </row>
    <row r="54" spans="1:14" x14ac:dyDescent="0.25">
      <c r="A54" s="5" t="s">
        <v>60</v>
      </c>
      <c r="B54" s="6">
        <v>500</v>
      </c>
      <c r="M54" s="4" t="s">
        <v>48</v>
      </c>
      <c r="N54" s="6">
        <v>19460</v>
      </c>
    </row>
    <row r="55" spans="1:14" x14ac:dyDescent="0.25">
      <c r="A55" s="4" t="s">
        <v>85</v>
      </c>
      <c r="B55" s="6">
        <v>200</v>
      </c>
      <c r="M55" s="4" t="s">
        <v>47</v>
      </c>
      <c r="N55" s="6">
        <v>21633</v>
      </c>
    </row>
    <row r="56" spans="1:14" x14ac:dyDescent="0.25">
      <c r="A56" s="5" t="s">
        <v>60</v>
      </c>
      <c r="B56" s="6">
        <v>200</v>
      </c>
      <c r="M56" s="4" t="s">
        <v>29</v>
      </c>
      <c r="N56" s="6">
        <v>19138</v>
      </c>
    </row>
    <row r="57" spans="1:14" x14ac:dyDescent="0.25">
      <c r="A57" s="4" t="s">
        <v>78</v>
      </c>
      <c r="B57" s="6">
        <v>900</v>
      </c>
      <c r="M57" s="4" t="s">
        <v>28</v>
      </c>
      <c r="N57" s="6">
        <v>19184</v>
      </c>
    </row>
    <row r="58" spans="1:14" x14ac:dyDescent="0.25">
      <c r="A58" s="5" t="s">
        <v>60</v>
      </c>
      <c r="B58" s="6">
        <v>900</v>
      </c>
      <c r="M58" s="4" t="s">
        <v>34</v>
      </c>
      <c r="N58" s="6">
        <v>22948</v>
      </c>
    </row>
    <row r="59" spans="1:14" x14ac:dyDescent="0.25">
      <c r="A59" s="4" t="s">
        <v>73</v>
      </c>
      <c r="B59" s="6">
        <v>350</v>
      </c>
      <c r="M59" s="4" t="s">
        <v>33</v>
      </c>
      <c r="N59" s="6">
        <v>22809</v>
      </c>
    </row>
    <row r="60" spans="1:14" x14ac:dyDescent="0.25">
      <c r="A60" s="5" t="s">
        <v>61</v>
      </c>
      <c r="B60" s="6">
        <v>350</v>
      </c>
      <c r="M60" s="4" t="s">
        <v>36</v>
      </c>
      <c r="N60" s="6">
        <v>21489</v>
      </c>
    </row>
    <row r="61" spans="1:14" x14ac:dyDescent="0.25">
      <c r="A61" s="4" t="s">
        <v>89</v>
      </c>
      <c r="B61" s="6">
        <v>300</v>
      </c>
      <c r="M61" s="4" t="s">
        <v>42</v>
      </c>
      <c r="N61" s="6">
        <v>25232</v>
      </c>
    </row>
    <row r="62" spans="1:14" x14ac:dyDescent="0.25">
      <c r="A62" s="5" t="s">
        <v>60</v>
      </c>
      <c r="B62" s="6">
        <v>300</v>
      </c>
      <c r="M62" s="4" t="s">
        <v>44</v>
      </c>
      <c r="N62" s="6">
        <v>27790</v>
      </c>
    </row>
    <row r="63" spans="1:14" x14ac:dyDescent="0.25">
      <c r="A63" s="4" t="s">
        <v>74</v>
      </c>
      <c r="B63" s="6">
        <v>250</v>
      </c>
      <c r="M63" s="4" t="s">
        <v>37</v>
      </c>
      <c r="N63" s="6">
        <v>22455</v>
      </c>
    </row>
    <row r="64" spans="1:14" x14ac:dyDescent="0.25">
      <c r="A64" s="5" t="s">
        <v>61</v>
      </c>
      <c r="B64" s="6">
        <v>250</v>
      </c>
      <c r="M64" s="4" t="s">
        <v>40</v>
      </c>
      <c r="N64" s="6">
        <v>21777</v>
      </c>
    </row>
    <row r="65" spans="1:14" x14ac:dyDescent="0.25">
      <c r="A65" s="4" t="s">
        <v>86</v>
      </c>
      <c r="B65" s="6">
        <v>560</v>
      </c>
      <c r="M65" s="4" t="s">
        <v>27</v>
      </c>
      <c r="N65" s="6">
        <v>18589</v>
      </c>
    </row>
    <row r="66" spans="1:14" x14ac:dyDescent="0.25">
      <c r="A66" s="5" t="s">
        <v>61</v>
      </c>
      <c r="B66" s="6">
        <v>560</v>
      </c>
      <c r="M66" s="4" t="s">
        <v>43</v>
      </c>
      <c r="N66" s="6">
        <v>25369</v>
      </c>
    </row>
    <row r="67" spans="1:14" x14ac:dyDescent="0.25">
      <c r="A67" s="4" t="s">
        <v>84</v>
      </c>
      <c r="B67" s="6">
        <v>80</v>
      </c>
      <c r="M67" s="4" t="s">
        <v>51</v>
      </c>
      <c r="N67" s="6">
        <v>27433</v>
      </c>
    </row>
    <row r="68" spans="1:14" x14ac:dyDescent="0.25">
      <c r="A68" s="5" t="s">
        <v>60</v>
      </c>
      <c r="B68" s="6">
        <v>80</v>
      </c>
      <c r="M68" s="4" t="s">
        <v>39</v>
      </c>
      <c r="N68" s="6">
        <v>20996</v>
      </c>
    </row>
    <row r="69" spans="1:14" x14ac:dyDescent="0.25">
      <c r="A69" s="4" t="s">
        <v>57</v>
      </c>
      <c r="B69" s="6">
        <v>100</v>
      </c>
      <c r="M69" s="4" t="s">
        <v>30</v>
      </c>
      <c r="N69" s="6">
        <v>21888</v>
      </c>
    </row>
    <row r="70" spans="1:14" x14ac:dyDescent="0.25">
      <c r="A70" s="5" t="s">
        <v>60</v>
      </c>
      <c r="B70" s="6">
        <v>100</v>
      </c>
      <c r="M70" s="4" t="s">
        <v>35</v>
      </c>
      <c r="N70" s="6">
        <v>21407</v>
      </c>
    </row>
    <row r="71" spans="1:14" x14ac:dyDescent="0.25">
      <c r="A71" s="4" t="s">
        <v>53</v>
      </c>
      <c r="B71" s="6">
        <v>440</v>
      </c>
      <c r="M71" s="4" t="s">
        <v>32</v>
      </c>
      <c r="N71" s="6">
        <v>20496</v>
      </c>
    </row>
    <row r="72" spans="1:14" x14ac:dyDescent="0.25">
      <c r="A72" s="5" t="s">
        <v>61</v>
      </c>
      <c r="B72" s="6">
        <v>440</v>
      </c>
      <c r="M72" s="4" t="s">
        <v>50</v>
      </c>
      <c r="N72" s="6">
        <v>22160</v>
      </c>
    </row>
    <row r="73" spans="1:14" x14ac:dyDescent="0.25">
      <c r="A73" s="4" t="s">
        <v>88</v>
      </c>
      <c r="B73" s="6">
        <v>650</v>
      </c>
      <c r="M73" s="4" t="s">
        <v>31</v>
      </c>
      <c r="N73" s="6">
        <v>22792</v>
      </c>
    </row>
    <row r="74" spans="1:14" x14ac:dyDescent="0.25">
      <c r="A74" s="5" t="s">
        <v>61</v>
      </c>
      <c r="B74" s="6">
        <v>650</v>
      </c>
      <c r="M74" s="4" t="s">
        <v>38</v>
      </c>
      <c r="N74" s="6">
        <v>21836</v>
      </c>
    </row>
    <row r="75" spans="1:14" x14ac:dyDescent="0.25">
      <c r="A75" s="4" t="s">
        <v>83</v>
      </c>
      <c r="B75" s="6">
        <v>400</v>
      </c>
      <c r="M75" s="4" t="s">
        <v>49</v>
      </c>
      <c r="N75" s="6">
        <v>23575</v>
      </c>
    </row>
    <row r="76" spans="1:14" x14ac:dyDescent="0.25">
      <c r="A76" s="5" t="s">
        <v>60</v>
      </c>
      <c r="B76" s="6">
        <v>400</v>
      </c>
      <c r="M76" s="4" t="s">
        <v>46</v>
      </c>
      <c r="N76" s="6">
        <v>22939</v>
      </c>
    </row>
    <row r="77" spans="1:14" x14ac:dyDescent="0.25">
      <c r="A77" s="4" t="s">
        <v>75</v>
      </c>
      <c r="B77" s="6">
        <v>420</v>
      </c>
      <c r="M77" s="4" t="s">
        <v>71</v>
      </c>
      <c r="N77" s="6">
        <v>560093</v>
      </c>
    </row>
    <row r="78" spans="1:14" x14ac:dyDescent="0.25">
      <c r="A78" s="5" t="s">
        <v>61</v>
      </c>
      <c r="B78" s="6">
        <v>420</v>
      </c>
    </row>
    <row r="79" spans="1:14" x14ac:dyDescent="0.25">
      <c r="A79" s="4" t="s">
        <v>87</v>
      </c>
      <c r="B79" s="6">
        <v>633</v>
      </c>
    </row>
    <row r="80" spans="1:14" x14ac:dyDescent="0.25">
      <c r="A80" s="5" t="s">
        <v>61</v>
      </c>
      <c r="B80" s="6">
        <v>633</v>
      </c>
    </row>
    <row r="81" spans="1:2" x14ac:dyDescent="0.25">
      <c r="A81" s="4" t="s">
        <v>79</v>
      </c>
      <c r="B81" s="6">
        <v>670</v>
      </c>
    </row>
    <row r="82" spans="1:2" x14ac:dyDescent="0.25">
      <c r="A82" s="5" t="s">
        <v>60</v>
      </c>
      <c r="B82" s="6">
        <v>670</v>
      </c>
    </row>
    <row r="83" spans="1:2" x14ac:dyDescent="0.25">
      <c r="A83" s="4" t="s">
        <v>54</v>
      </c>
      <c r="B83" s="6">
        <v>600</v>
      </c>
    </row>
    <row r="84" spans="1:2" x14ac:dyDescent="0.25">
      <c r="A84" s="5" t="s">
        <v>61</v>
      </c>
      <c r="B84" s="6">
        <v>600</v>
      </c>
    </row>
    <row r="85" spans="1:2" x14ac:dyDescent="0.25">
      <c r="A85" s="4" t="s">
        <v>77</v>
      </c>
      <c r="B85" s="6">
        <v>110</v>
      </c>
    </row>
    <row r="86" spans="1:2" x14ac:dyDescent="0.25">
      <c r="A86" s="5" t="s">
        <v>61</v>
      </c>
      <c r="B86" s="6">
        <v>110</v>
      </c>
    </row>
    <row r="87" spans="1:2" x14ac:dyDescent="0.25">
      <c r="A87" s="4" t="s">
        <v>81</v>
      </c>
      <c r="B87" s="6">
        <v>300</v>
      </c>
    </row>
    <row r="88" spans="1:2" x14ac:dyDescent="0.25">
      <c r="A88" s="5" t="s">
        <v>60</v>
      </c>
      <c r="B88" s="6">
        <v>300</v>
      </c>
    </row>
    <row r="89" spans="1:2" x14ac:dyDescent="0.25">
      <c r="A89" s="4" t="s">
        <v>55</v>
      </c>
      <c r="B89" s="6">
        <v>700</v>
      </c>
    </row>
    <row r="90" spans="1:2" x14ac:dyDescent="0.25">
      <c r="A90" s="5" t="s">
        <v>61</v>
      </c>
      <c r="B90" s="6">
        <v>700</v>
      </c>
    </row>
    <row r="91" spans="1:2" x14ac:dyDescent="0.25">
      <c r="A91" s="4" t="s">
        <v>82</v>
      </c>
      <c r="B91" s="6">
        <v>600</v>
      </c>
    </row>
    <row r="92" spans="1:2" x14ac:dyDescent="0.25">
      <c r="A92" s="5" t="s">
        <v>60</v>
      </c>
      <c r="B92" s="6">
        <v>600</v>
      </c>
    </row>
    <row r="93" spans="1:2" x14ac:dyDescent="0.25">
      <c r="A93" s="4" t="s">
        <v>72</v>
      </c>
      <c r="B93" s="6">
        <v>350</v>
      </c>
    </row>
    <row r="94" spans="1:2" x14ac:dyDescent="0.25">
      <c r="A94" s="5" t="s">
        <v>61</v>
      </c>
      <c r="B94" s="6">
        <v>350</v>
      </c>
    </row>
    <row r="95" spans="1:2" x14ac:dyDescent="0.25">
      <c r="A95" s="4" t="s">
        <v>90</v>
      </c>
      <c r="B95" s="6">
        <v>200</v>
      </c>
    </row>
    <row r="96" spans="1:2" x14ac:dyDescent="0.25">
      <c r="A96" s="5" t="s">
        <v>61</v>
      </c>
      <c r="B96" s="6">
        <v>200</v>
      </c>
    </row>
    <row r="97" spans="1:2" x14ac:dyDescent="0.25">
      <c r="A97" s="4" t="s">
        <v>71</v>
      </c>
      <c r="B97" s="6">
        <v>10733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table</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dc:creator>
  <cp:lastModifiedBy>GOKUL</cp:lastModifiedBy>
  <dcterms:created xsi:type="dcterms:W3CDTF">2025-07-22T08:17:26Z</dcterms:created>
  <dcterms:modified xsi:type="dcterms:W3CDTF">2025-11-13T12:37:02Z</dcterms:modified>
</cp:coreProperties>
</file>